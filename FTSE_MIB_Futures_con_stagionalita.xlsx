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antoniofortunato/Desktop/arimaemail/"/>
    </mc:Choice>
  </mc:AlternateContent>
  <xr:revisionPtr revIDLastSave="0" documentId="13_ncr:1_{6AFB8430-4AA4-2F41-9A15-2E72218B2327}" xr6:coauthVersionLast="47" xr6:coauthVersionMax="47" xr10:uidLastSave="{00000000-0000-0000-0000-000000000000}"/>
  <bookViews>
    <workbookView xWindow="0" yWindow="660" windowWidth="29400" windowHeight="18460" activeTab="1" xr2:uid="{00000000-000D-0000-FFFF-FFFF00000000}"/>
  </bookViews>
  <sheets>
    <sheet name="Sheet1" sheetId="1" r:id="rId1"/>
    <sheet name="Legenda 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2" l="1"/>
  <c r="D16" i="2"/>
  <c r="D15" i="2"/>
  <c r="D14" i="2"/>
  <c r="D13" i="2"/>
  <c r="D12" i="2"/>
  <c r="D11" i="2"/>
  <c r="D10" i="2"/>
  <c r="D18" i="2"/>
  <c r="L960" i="1"/>
  <c r="H3" i="1"/>
  <c r="M2" i="1"/>
  <c r="N2" i="1"/>
  <c r="O2" i="1"/>
  <c r="O1277" i="1"/>
  <c r="N1277" i="1"/>
  <c r="M1277" i="1"/>
  <c r="L1277" i="1"/>
  <c r="K1277" i="1"/>
  <c r="J1277" i="1"/>
  <c r="I1277" i="1"/>
  <c r="H1277" i="1"/>
  <c r="G1277" i="1" s="1"/>
  <c r="O1276" i="1"/>
  <c r="N1276" i="1"/>
  <c r="M1276" i="1"/>
  <c r="L1276" i="1"/>
  <c r="K1276" i="1"/>
  <c r="J1276" i="1"/>
  <c r="I1276" i="1"/>
  <c r="H1276" i="1"/>
  <c r="G1276" i="1" s="1"/>
  <c r="O1275" i="1"/>
  <c r="N1275" i="1"/>
  <c r="M1275" i="1"/>
  <c r="L1275" i="1"/>
  <c r="K1275" i="1"/>
  <c r="J1275" i="1"/>
  <c r="I1275" i="1"/>
  <c r="H1275" i="1"/>
  <c r="G1275" i="1" s="1"/>
  <c r="O1274" i="1"/>
  <c r="N1274" i="1"/>
  <c r="M1274" i="1"/>
  <c r="L1274" i="1"/>
  <c r="K1274" i="1"/>
  <c r="J1274" i="1"/>
  <c r="I1274" i="1"/>
  <c r="H1274" i="1"/>
  <c r="G1274" i="1" s="1"/>
  <c r="O1273" i="1"/>
  <c r="N1273" i="1"/>
  <c r="M1273" i="1"/>
  <c r="L1273" i="1"/>
  <c r="K1273" i="1"/>
  <c r="J1273" i="1"/>
  <c r="I1273" i="1"/>
  <c r="H1273" i="1"/>
  <c r="G1273" i="1" s="1"/>
  <c r="O1272" i="1"/>
  <c r="N1272" i="1"/>
  <c r="M1272" i="1"/>
  <c r="L1272" i="1"/>
  <c r="K1272" i="1"/>
  <c r="J1272" i="1"/>
  <c r="I1272" i="1"/>
  <c r="H1272" i="1"/>
  <c r="G1272" i="1" s="1"/>
  <c r="O1271" i="1"/>
  <c r="N1271" i="1"/>
  <c r="M1271" i="1"/>
  <c r="L1271" i="1"/>
  <c r="K1271" i="1"/>
  <c r="J1271" i="1"/>
  <c r="I1271" i="1"/>
  <c r="H1271" i="1"/>
  <c r="G1271" i="1" s="1"/>
  <c r="O1270" i="1"/>
  <c r="N1270" i="1"/>
  <c r="M1270" i="1"/>
  <c r="L1270" i="1"/>
  <c r="K1270" i="1"/>
  <c r="J1270" i="1"/>
  <c r="I1270" i="1"/>
  <c r="H1270" i="1"/>
  <c r="G1270" i="1" s="1"/>
  <c r="O1269" i="1"/>
  <c r="N1269" i="1"/>
  <c r="M1269" i="1"/>
  <c r="L1269" i="1"/>
  <c r="K1269" i="1"/>
  <c r="J1269" i="1"/>
  <c r="I1269" i="1"/>
  <c r="H1269" i="1"/>
  <c r="G1269" i="1" s="1"/>
  <c r="O1268" i="1"/>
  <c r="N1268" i="1"/>
  <c r="M1268" i="1"/>
  <c r="L1268" i="1"/>
  <c r="K1268" i="1"/>
  <c r="J1268" i="1"/>
  <c r="I1268" i="1"/>
  <c r="H1268" i="1"/>
  <c r="G1268" i="1" s="1"/>
  <c r="O1267" i="1"/>
  <c r="N1267" i="1"/>
  <c r="M1267" i="1"/>
  <c r="L1267" i="1"/>
  <c r="K1267" i="1"/>
  <c r="J1267" i="1"/>
  <c r="I1267" i="1"/>
  <c r="H1267" i="1"/>
  <c r="G1267" i="1" s="1"/>
  <c r="O1266" i="1"/>
  <c r="N1266" i="1"/>
  <c r="M1266" i="1"/>
  <c r="L1266" i="1"/>
  <c r="K1266" i="1"/>
  <c r="J1266" i="1"/>
  <c r="I1266" i="1"/>
  <c r="H1266" i="1"/>
  <c r="G1266" i="1" s="1"/>
  <c r="O1265" i="1"/>
  <c r="N1265" i="1"/>
  <c r="M1265" i="1"/>
  <c r="L1265" i="1"/>
  <c r="K1265" i="1"/>
  <c r="J1265" i="1"/>
  <c r="I1265" i="1"/>
  <c r="H1265" i="1"/>
  <c r="G1265" i="1" s="1"/>
  <c r="O1264" i="1"/>
  <c r="N1264" i="1"/>
  <c r="M1264" i="1"/>
  <c r="L1264" i="1"/>
  <c r="K1264" i="1"/>
  <c r="J1264" i="1"/>
  <c r="I1264" i="1"/>
  <c r="H1264" i="1"/>
  <c r="G1264" i="1" s="1"/>
  <c r="O1263" i="1"/>
  <c r="N1263" i="1"/>
  <c r="M1263" i="1"/>
  <c r="L1263" i="1"/>
  <c r="K1263" i="1"/>
  <c r="J1263" i="1"/>
  <c r="I1263" i="1"/>
  <c r="H1263" i="1"/>
  <c r="G1263" i="1" s="1"/>
  <c r="O1262" i="1"/>
  <c r="N1262" i="1"/>
  <c r="M1262" i="1"/>
  <c r="L1262" i="1"/>
  <c r="K1262" i="1"/>
  <c r="J1262" i="1"/>
  <c r="I1262" i="1"/>
  <c r="H1262" i="1"/>
  <c r="G1262" i="1" s="1"/>
  <c r="O1261" i="1"/>
  <c r="N1261" i="1"/>
  <c r="M1261" i="1"/>
  <c r="L1261" i="1"/>
  <c r="K1261" i="1"/>
  <c r="J1261" i="1"/>
  <c r="I1261" i="1"/>
  <c r="H1261" i="1"/>
  <c r="G1261" i="1" s="1"/>
  <c r="O1260" i="1"/>
  <c r="N1260" i="1"/>
  <c r="M1260" i="1"/>
  <c r="L1260" i="1"/>
  <c r="K1260" i="1"/>
  <c r="J1260" i="1"/>
  <c r="I1260" i="1"/>
  <c r="H1260" i="1"/>
  <c r="G1260" i="1" s="1"/>
  <c r="O1259" i="1"/>
  <c r="N1259" i="1"/>
  <c r="M1259" i="1"/>
  <c r="L1259" i="1"/>
  <c r="K1259" i="1"/>
  <c r="J1259" i="1"/>
  <c r="I1259" i="1"/>
  <c r="H1259" i="1"/>
  <c r="G1259" i="1" s="1"/>
  <c r="O1258" i="1"/>
  <c r="N1258" i="1"/>
  <c r="M1258" i="1"/>
  <c r="L1258" i="1"/>
  <c r="K1258" i="1"/>
  <c r="J1258" i="1"/>
  <c r="I1258" i="1"/>
  <c r="H1258" i="1"/>
  <c r="G1258" i="1" s="1"/>
  <c r="O1257" i="1"/>
  <c r="N1257" i="1"/>
  <c r="M1257" i="1"/>
  <c r="L1257" i="1"/>
  <c r="K1257" i="1"/>
  <c r="J1257" i="1"/>
  <c r="I1257" i="1"/>
  <c r="H1257" i="1"/>
  <c r="G1257" i="1" s="1"/>
  <c r="O1256" i="1"/>
  <c r="N1256" i="1"/>
  <c r="M1256" i="1"/>
  <c r="L1256" i="1"/>
  <c r="K1256" i="1"/>
  <c r="J1256" i="1"/>
  <c r="I1256" i="1"/>
  <c r="H1256" i="1"/>
  <c r="G1256" i="1" s="1"/>
  <c r="O1255" i="1"/>
  <c r="N1255" i="1"/>
  <c r="M1255" i="1"/>
  <c r="L1255" i="1"/>
  <c r="K1255" i="1"/>
  <c r="J1255" i="1"/>
  <c r="I1255" i="1"/>
  <c r="H1255" i="1"/>
  <c r="G1255" i="1" s="1"/>
  <c r="O1254" i="1"/>
  <c r="N1254" i="1"/>
  <c r="M1254" i="1"/>
  <c r="L1254" i="1"/>
  <c r="K1254" i="1"/>
  <c r="J1254" i="1"/>
  <c r="I1254" i="1"/>
  <c r="H1254" i="1"/>
  <c r="G1254" i="1" s="1"/>
  <c r="O1253" i="1"/>
  <c r="N1253" i="1"/>
  <c r="M1253" i="1"/>
  <c r="L1253" i="1"/>
  <c r="K1253" i="1"/>
  <c r="J1253" i="1"/>
  <c r="I1253" i="1"/>
  <c r="H1253" i="1"/>
  <c r="G1253" i="1" s="1"/>
  <c r="O1252" i="1"/>
  <c r="N1252" i="1"/>
  <c r="M1252" i="1"/>
  <c r="L1252" i="1"/>
  <c r="K1252" i="1"/>
  <c r="J1252" i="1"/>
  <c r="I1252" i="1"/>
  <c r="H1252" i="1"/>
  <c r="G1252" i="1" s="1"/>
  <c r="O1251" i="1"/>
  <c r="N1251" i="1"/>
  <c r="M1251" i="1"/>
  <c r="L1251" i="1"/>
  <c r="K1251" i="1"/>
  <c r="J1251" i="1"/>
  <c r="I1251" i="1"/>
  <c r="H1251" i="1"/>
  <c r="G1251" i="1" s="1"/>
  <c r="O1250" i="1"/>
  <c r="N1250" i="1"/>
  <c r="M1250" i="1"/>
  <c r="L1250" i="1"/>
  <c r="K1250" i="1"/>
  <c r="J1250" i="1"/>
  <c r="I1250" i="1"/>
  <c r="H1250" i="1"/>
  <c r="G1250" i="1" s="1"/>
  <c r="O1249" i="1"/>
  <c r="N1249" i="1"/>
  <c r="M1249" i="1"/>
  <c r="L1249" i="1"/>
  <c r="K1249" i="1"/>
  <c r="J1249" i="1"/>
  <c r="I1249" i="1"/>
  <c r="H1249" i="1"/>
  <c r="G1249" i="1" s="1"/>
  <c r="O1248" i="1"/>
  <c r="N1248" i="1"/>
  <c r="M1248" i="1"/>
  <c r="L1248" i="1"/>
  <c r="K1248" i="1"/>
  <c r="J1248" i="1"/>
  <c r="I1248" i="1"/>
  <c r="H1248" i="1"/>
  <c r="G1248" i="1" s="1"/>
  <c r="O1247" i="1"/>
  <c r="N1247" i="1"/>
  <c r="M1247" i="1"/>
  <c r="L1247" i="1"/>
  <c r="K1247" i="1"/>
  <c r="J1247" i="1"/>
  <c r="I1247" i="1"/>
  <c r="H1247" i="1"/>
  <c r="G1247" i="1" s="1"/>
  <c r="O1246" i="1"/>
  <c r="N1246" i="1"/>
  <c r="M1246" i="1"/>
  <c r="L1246" i="1"/>
  <c r="K1246" i="1"/>
  <c r="J1246" i="1"/>
  <c r="I1246" i="1"/>
  <c r="H1246" i="1"/>
  <c r="G1246" i="1" s="1"/>
  <c r="O1245" i="1"/>
  <c r="N1245" i="1"/>
  <c r="M1245" i="1"/>
  <c r="L1245" i="1"/>
  <c r="K1245" i="1"/>
  <c r="J1245" i="1"/>
  <c r="I1245" i="1"/>
  <c r="H1245" i="1"/>
  <c r="G1245" i="1" s="1"/>
  <c r="O1244" i="1"/>
  <c r="N1244" i="1"/>
  <c r="M1244" i="1"/>
  <c r="L1244" i="1"/>
  <c r="K1244" i="1"/>
  <c r="J1244" i="1"/>
  <c r="I1244" i="1"/>
  <c r="H1244" i="1"/>
  <c r="G1244" i="1" s="1"/>
  <c r="O1243" i="1"/>
  <c r="N1243" i="1"/>
  <c r="M1243" i="1"/>
  <c r="L1243" i="1"/>
  <c r="K1243" i="1"/>
  <c r="J1243" i="1"/>
  <c r="I1243" i="1"/>
  <c r="H1243" i="1"/>
  <c r="G1243" i="1" s="1"/>
  <c r="O1242" i="1"/>
  <c r="N1242" i="1"/>
  <c r="M1242" i="1"/>
  <c r="L1242" i="1"/>
  <c r="K1242" i="1"/>
  <c r="J1242" i="1"/>
  <c r="I1242" i="1"/>
  <c r="H1242" i="1"/>
  <c r="G1242" i="1" s="1"/>
  <c r="O1241" i="1"/>
  <c r="N1241" i="1"/>
  <c r="M1241" i="1"/>
  <c r="L1241" i="1"/>
  <c r="K1241" i="1"/>
  <c r="J1241" i="1"/>
  <c r="I1241" i="1"/>
  <c r="H1241" i="1"/>
  <c r="G1241" i="1" s="1"/>
  <c r="O1240" i="1"/>
  <c r="N1240" i="1"/>
  <c r="M1240" i="1"/>
  <c r="L1240" i="1"/>
  <c r="K1240" i="1"/>
  <c r="J1240" i="1"/>
  <c r="I1240" i="1"/>
  <c r="H1240" i="1"/>
  <c r="G1240" i="1" s="1"/>
  <c r="O1239" i="1"/>
  <c r="N1239" i="1"/>
  <c r="M1239" i="1"/>
  <c r="L1239" i="1"/>
  <c r="K1239" i="1"/>
  <c r="J1239" i="1"/>
  <c r="I1239" i="1"/>
  <c r="H1239" i="1"/>
  <c r="G1239" i="1" s="1"/>
  <c r="O1238" i="1"/>
  <c r="N1238" i="1"/>
  <c r="M1238" i="1"/>
  <c r="L1238" i="1"/>
  <c r="K1238" i="1"/>
  <c r="J1238" i="1"/>
  <c r="I1238" i="1"/>
  <c r="H1238" i="1"/>
  <c r="G1238" i="1" s="1"/>
  <c r="O1237" i="1"/>
  <c r="N1237" i="1"/>
  <c r="M1237" i="1"/>
  <c r="L1237" i="1"/>
  <c r="K1237" i="1"/>
  <c r="J1237" i="1"/>
  <c r="I1237" i="1"/>
  <c r="H1237" i="1"/>
  <c r="G1237" i="1" s="1"/>
  <c r="O1236" i="1"/>
  <c r="N1236" i="1"/>
  <c r="M1236" i="1"/>
  <c r="L1236" i="1"/>
  <c r="K1236" i="1"/>
  <c r="J1236" i="1"/>
  <c r="I1236" i="1"/>
  <c r="H1236" i="1"/>
  <c r="G1236" i="1" s="1"/>
  <c r="O1235" i="1"/>
  <c r="N1235" i="1"/>
  <c r="M1235" i="1"/>
  <c r="L1235" i="1"/>
  <c r="K1235" i="1"/>
  <c r="J1235" i="1"/>
  <c r="I1235" i="1"/>
  <c r="H1235" i="1"/>
  <c r="G1235" i="1" s="1"/>
  <c r="O1234" i="1"/>
  <c r="N1234" i="1"/>
  <c r="M1234" i="1"/>
  <c r="L1234" i="1"/>
  <c r="K1234" i="1"/>
  <c r="J1234" i="1"/>
  <c r="I1234" i="1"/>
  <c r="H1234" i="1"/>
  <c r="G1234" i="1" s="1"/>
  <c r="O1233" i="1"/>
  <c r="N1233" i="1"/>
  <c r="M1233" i="1"/>
  <c r="L1233" i="1"/>
  <c r="K1233" i="1"/>
  <c r="J1233" i="1"/>
  <c r="I1233" i="1"/>
  <c r="H1233" i="1"/>
  <c r="G1233" i="1" s="1"/>
  <c r="O1232" i="1"/>
  <c r="N1232" i="1"/>
  <c r="M1232" i="1"/>
  <c r="L1232" i="1"/>
  <c r="K1232" i="1"/>
  <c r="J1232" i="1"/>
  <c r="I1232" i="1"/>
  <c r="H1232" i="1"/>
  <c r="G1232" i="1" s="1"/>
  <c r="O1231" i="1"/>
  <c r="N1231" i="1"/>
  <c r="M1231" i="1"/>
  <c r="L1231" i="1"/>
  <c r="K1231" i="1"/>
  <c r="J1231" i="1"/>
  <c r="I1231" i="1"/>
  <c r="H1231" i="1"/>
  <c r="G1231" i="1" s="1"/>
  <c r="O1230" i="1"/>
  <c r="N1230" i="1"/>
  <c r="M1230" i="1"/>
  <c r="L1230" i="1"/>
  <c r="K1230" i="1"/>
  <c r="J1230" i="1"/>
  <c r="I1230" i="1"/>
  <c r="H1230" i="1"/>
  <c r="G1230" i="1" s="1"/>
  <c r="O1229" i="1"/>
  <c r="N1229" i="1"/>
  <c r="M1229" i="1"/>
  <c r="L1229" i="1"/>
  <c r="K1229" i="1"/>
  <c r="J1229" i="1"/>
  <c r="I1229" i="1"/>
  <c r="H1229" i="1"/>
  <c r="G1229" i="1" s="1"/>
  <c r="O1228" i="1"/>
  <c r="N1228" i="1"/>
  <c r="M1228" i="1"/>
  <c r="L1228" i="1"/>
  <c r="K1228" i="1"/>
  <c r="J1228" i="1"/>
  <c r="I1228" i="1"/>
  <c r="H1228" i="1"/>
  <c r="G1228" i="1" s="1"/>
  <c r="O1227" i="1"/>
  <c r="N1227" i="1"/>
  <c r="M1227" i="1"/>
  <c r="L1227" i="1"/>
  <c r="K1227" i="1"/>
  <c r="J1227" i="1"/>
  <c r="I1227" i="1"/>
  <c r="H1227" i="1"/>
  <c r="G1227" i="1" s="1"/>
  <c r="O1226" i="1"/>
  <c r="N1226" i="1"/>
  <c r="M1226" i="1"/>
  <c r="L1226" i="1"/>
  <c r="K1226" i="1"/>
  <c r="J1226" i="1"/>
  <c r="I1226" i="1"/>
  <c r="H1226" i="1"/>
  <c r="G1226" i="1" s="1"/>
  <c r="O1225" i="1"/>
  <c r="N1225" i="1"/>
  <c r="M1225" i="1"/>
  <c r="L1225" i="1"/>
  <c r="K1225" i="1"/>
  <c r="J1225" i="1"/>
  <c r="I1225" i="1"/>
  <c r="H1225" i="1"/>
  <c r="G1225" i="1" s="1"/>
  <c r="O1224" i="1"/>
  <c r="N1224" i="1"/>
  <c r="M1224" i="1"/>
  <c r="L1224" i="1"/>
  <c r="K1224" i="1"/>
  <c r="J1224" i="1"/>
  <c r="I1224" i="1"/>
  <c r="H1224" i="1"/>
  <c r="G1224" i="1" s="1"/>
  <c r="O1223" i="1"/>
  <c r="N1223" i="1"/>
  <c r="M1223" i="1"/>
  <c r="L1223" i="1"/>
  <c r="K1223" i="1"/>
  <c r="J1223" i="1"/>
  <c r="I1223" i="1"/>
  <c r="H1223" i="1"/>
  <c r="G1223" i="1" s="1"/>
  <c r="O1222" i="1"/>
  <c r="N1222" i="1"/>
  <c r="M1222" i="1"/>
  <c r="L1222" i="1"/>
  <c r="K1222" i="1"/>
  <c r="J1222" i="1"/>
  <c r="I1222" i="1"/>
  <c r="H1222" i="1"/>
  <c r="G1222" i="1" s="1"/>
  <c r="O1221" i="1"/>
  <c r="N1221" i="1"/>
  <c r="M1221" i="1"/>
  <c r="L1221" i="1"/>
  <c r="K1221" i="1"/>
  <c r="J1221" i="1"/>
  <c r="I1221" i="1"/>
  <c r="H1221" i="1"/>
  <c r="G1221" i="1" s="1"/>
  <c r="O1220" i="1"/>
  <c r="N1220" i="1"/>
  <c r="M1220" i="1"/>
  <c r="L1220" i="1"/>
  <c r="K1220" i="1"/>
  <c r="J1220" i="1"/>
  <c r="I1220" i="1"/>
  <c r="H1220" i="1"/>
  <c r="G1220" i="1" s="1"/>
  <c r="O1219" i="1"/>
  <c r="N1219" i="1"/>
  <c r="M1219" i="1"/>
  <c r="L1219" i="1"/>
  <c r="K1219" i="1"/>
  <c r="J1219" i="1"/>
  <c r="I1219" i="1"/>
  <c r="H1219" i="1"/>
  <c r="G1219" i="1" s="1"/>
  <c r="O1218" i="1"/>
  <c r="N1218" i="1"/>
  <c r="M1218" i="1"/>
  <c r="L1218" i="1"/>
  <c r="K1218" i="1"/>
  <c r="J1218" i="1"/>
  <c r="I1218" i="1"/>
  <c r="H1218" i="1"/>
  <c r="G1218" i="1" s="1"/>
  <c r="O1217" i="1"/>
  <c r="N1217" i="1"/>
  <c r="M1217" i="1"/>
  <c r="L1217" i="1"/>
  <c r="K1217" i="1"/>
  <c r="J1217" i="1"/>
  <c r="I1217" i="1"/>
  <c r="H1217" i="1"/>
  <c r="G1217" i="1" s="1"/>
  <c r="O1216" i="1"/>
  <c r="N1216" i="1"/>
  <c r="M1216" i="1"/>
  <c r="L1216" i="1"/>
  <c r="K1216" i="1"/>
  <c r="J1216" i="1"/>
  <c r="I1216" i="1"/>
  <c r="H1216" i="1"/>
  <c r="G1216" i="1" s="1"/>
  <c r="O1215" i="1"/>
  <c r="N1215" i="1"/>
  <c r="M1215" i="1"/>
  <c r="L1215" i="1"/>
  <c r="K1215" i="1"/>
  <c r="J1215" i="1"/>
  <c r="I1215" i="1"/>
  <c r="H1215" i="1"/>
  <c r="G1215" i="1" s="1"/>
  <c r="O1214" i="1"/>
  <c r="N1214" i="1"/>
  <c r="M1214" i="1"/>
  <c r="L1214" i="1"/>
  <c r="K1214" i="1"/>
  <c r="J1214" i="1"/>
  <c r="I1214" i="1"/>
  <c r="H1214" i="1"/>
  <c r="G1214" i="1" s="1"/>
  <c r="O1213" i="1"/>
  <c r="N1213" i="1"/>
  <c r="M1213" i="1"/>
  <c r="L1213" i="1"/>
  <c r="K1213" i="1"/>
  <c r="J1213" i="1"/>
  <c r="I1213" i="1"/>
  <c r="H1213" i="1"/>
  <c r="G1213" i="1" s="1"/>
  <c r="O1212" i="1"/>
  <c r="N1212" i="1"/>
  <c r="M1212" i="1"/>
  <c r="L1212" i="1"/>
  <c r="K1212" i="1"/>
  <c r="J1212" i="1"/>
  <c r="I1212" i="1"/>
  <c r="H1212" i="1"/>
  <c r="G1212" i="1" s="1"/>
  <c r="O1211" i="1"/>
  <c r="N1211" i="1"/>
  <c r="M1211" i="1"/>
  <c r="L1211" i="1"/>
  <c r="K1211" i="1"/>
  <c r="J1211" i="1"/>
  <c r="I1211" i="1"/>
  <c r="H1211" i="1"/>
  <c r="G1211" i="1" s="1"/>
  <c r="O1210" i="1"/>
  <c r="N1210" i="1"/>
  <c r="M1210" i="1"/>
  <c r="L1210" i="1"/>
  <c r="K1210" i="1"/>
  <c r="J1210" i="1"/>
  <c r="I1210" i="1"/>
  <c r="H1210" i="1"/>
  <c r="G1210" i="1" s="1"/>
  <c r="O1209" i="1"/>
  <c r="N1209" i="1"/>
  <c r="M1209" i="1"/>
  <c r="L1209" i="1"/>
  <c r="K1209" i="1"/>
  <c r="J1209" i="1"/>
  <c r="I1209" i="1"/>
  <c r="H1209" i="1"/>
  <c r="G1209" i="1" s="1"/>
  <c r="O1208" i="1"/>
  <c r="N1208" i="1"/>
  <c r="M1208" i="1"/>
  <c r="L1208" i="1"/>
  <c r="K1208" i="1"/>
  <c r="J1208" i="1"/>
  <c r="I1208" i="1"/>
  <c r="H1208" i="1"/>
  <c r="G1208" i="1" s="1"/>
  <c r="O1207" i="1"/>
  <c r="N1207" i="1"/>
  <c r="M1207" i="1"/>
  <c r="L1207" i="1"/>
  <c r="K1207" i="1"/>
  <c r="J1207" i="1"/>
  <c r="I1207" i="1"/>
  <c r="H1207" i="1"/>
  <c r="G1207" i="1" s="1"/>
  <c r="O1206" i="1"/>
  <c r="N1206" i="1"/>
  <c r="M1206" i="1"/>
  <c r="L1206" i="1"/>
  <c r="K1206" i="1"/>
  <c r="J1206" i="1"/>
  <c r="I1206" i="1"/>
  <c r="H1206" i="1"/>
  <c r="G1206" i="1" s="1"/>
  <c r="O1205" i="1"/>
  <c r="N1205" i="1"/>
  <c r="M1205" i="1"/>
  <c r="L1205" i="1"/>
  <c r="K1205" i="1"/>
  <c r="J1205" i="1"/>
  <c r="I1205" i="1"/>
  <c r="H1205" i="1"/>
  <c r="G1205" i="1" s="1"/>
  <c r="O1204" i="1"/>
  <c r="N1204" i="1"/>
  <c r="M1204" i="1"/>
  <c r="L1204" i="1"/>
  <c r="K1204" i="1"/>
  <c r="J1204" i="1"/>
  <c r="I1204" i="1"/>
  <c r="H1204" i="1"/>
  <c r="G1204" i="1" s="1"/>
  <c r="O1203" i="1"/>
  <c r="N1203" i="1"/>
  <c r="M1203" i="1"/>
  <c r="L1203" i="1"/>
  <c r="K1203" i="1"/>
  <c r="J1203" i="1"/>
  <c r="I1203" i="1"/>
  <c r="H1203" i="1"/>
  <c r="G1203" i="1" s="1"/>
  <c r="O1202" i="1"/>
  <c r="N1202" i="1"/>
  <c r="M1202" i="1"/>
  <c r="L1202" i="1"/>
  <c r="K1202" i="1"/>
  <c r="J1202" i="1"/>
  <c r="I1202" i="1"/>
  <c r="H1202" i="1"/>
  <c r="G1202" i="1" s="1"/>
  <c r="O1201" i="1"/>
  <c r="N1201" i="1"/>
  <c r="M1201" i="1"/>
  <c r="L1201" i="1"/>
  <c r="K1201" i="1"/>
  <c r="J1201" i="1"/>
  <c r="I1201" i="1"/>
  <c r="H1201" i="1"/>
  <c r="G1201" i="1" s="1"/>
  <c r="O1200" i="1"/>
  <c r="N1200" i="1"/>
  <c r="M1200" i="1"/>
  <c r="L1200" i="1"/>
  <c r="K1200" i="1"/>
  <c r="J1200" i="1"/>
  <c r="I1200" i="1"/>
  <c r="H1200" i="1"/>
  <c r="G1200" i="1" s="1"/>
  <c r="O1199" i="1"/>
  <c r="N1199" i="1"/>
  <c r="M1199" i="1"/>
  <c r="L1199" i="1"/>
  <c r="K1199" i="1"/>
  <c r="J1199" i="1"/>
  <c r="I1199" i="1"/>
  <c r="H1199" i="1"/>
  <c r="G1199" i="1" s="1"/>
  <c r="O1198" i="1"/>
  <c r="N1198" i="1"/>
  <c r="M1198" i="1"/>
  <c r="L1198" i="1"/>
  <c r="K1198" i="1"/>
  <c r="J1198" i="1"/>
  <c r="I1198" i="1"/>
  <c r="H1198" i="1"/>
  <c r="G1198" i="1" s="1"/>
  <c r="O1197" i="1"/>
  <c r="N1197" i="1"/>
  <c r="M1197" i="1"/>
  <c r="L1197" i="1"/>
  <c r="K1197" i="1"/>
  <c r="J1197" i="1"/>
  <c r="I1197" i="1"/>
  <c r="H1197" i="1"/>
  <c r="G1197" i="1" s="1"/>
  <c r="O1196" i="1"/>
  <c r="N1196" i="1"/>
  <c r="M1196" i="1"/>
  <c r="L1196" i="1"/>
  <c r="K1196" i="1"/>
  <c r="J1196" i="1"/>
  <c r="I1196" i="1"/>
  <c r="H1196" i="1"/>
  <c r="G1196" i="1" s="1"/>
  <c r="O1195" i="1"/>
  <c r="N1195" i="1"/>
  <c r="M1195" i="1"/>
  <c r="L1195" i="1"/>
  <c r="K1195" i="1"/>
  <c r="J1195" i="1"/>
  <c r="I1195" i="1"/>
  <c r="H1195" i="1"/>
  <c r="G1195" i="1" s="1"/>
  <c r="O1194" i="1"/>
  <c r="N1194" i="1"/>
  <c r="M1194" i="1"/>
  <c r="L1194" i="1"/>
  <c r="K1194" i="1"/>
  <c r="J1194" i="1"/>
  <c r="I1194" i="1"/>
  <c r="H1194" i="1"/>
  <c r="G1194" i="1" s="1"/>
  <c r="O1193" i="1"/>
  <c r="N1193" i="1"/>
  <c r="M1193" i="1"/>
  <c r="L1193" i="1"/>
  <c r="K1193" i="1"/>
  <c r="J1193" i="1"/>
  <c r="I1193" i="1"/>
  <c r="H1193" i="1"/>
  <c r="G1193" i="1" s="1"/>
  <c r="O1192" i="1"/>
  <c r="N1192" i="1"/>
  <c r="M1192" i="1"/>
  <c r="L1192" i="1"/>
  <c r="K1192" i="1"/>
  <c r="J1192" i="1"/>
  <c r="I1192" i="1"/>
  <c r="H1192" i="1"/>
  <c r="G1192" i="1" s="1"/>
  <c r="O1191" i="1"/>
  <c r="N1191" i="1"/>
  <c r="M1191" i="1"/>
  <c r="L1191" i="1"/>
  <c r="K1191" i="1"/>
  <c r="J1191" i="1"/>
  <c r="I1191" i="1"/>
  <c r="H1191" i="1"/>
  <c r="G1191" i="1" s="1"/>
  <c r="O1190" i="1"/>
  <c r="N1190" i="1"/>
  <c r="M1190" i="1"/>
  <c r="L1190" i="1"/>
  <c r="K1190" i="1"/>
  <c r="J1190" i="1"/>
  <c r="I1190" i="1"/>
  <c r="H1190" i="1"/>
  <c r="G1190" i="1" s="1"/>
  <c r="O1189" i="1"/>
  <c r="N1189" i="1"/>
  <c r="M1189" i="1"/>
  <c r="L1189" i="1"/>
  <c r="K1189" i="1"/>
  <c r="J1189" i="1"/>
  <c r="I1189" i="1"/>
  <c r="H1189" i="1"/>
  <c r="G1189" i="1" s="1"/>
  <c r="O1188" i="1"/>
  <c r="N1188" i="1"/>
  <c r="M1188" i="1"/>
  <c r="L1188" i="1"/>
  <c r="K1188" i="1"/>
  <c r="J1188" i="1"/>
  <c r="I1188" i="1"/>
  <c r="H1188" i="1"/>
  <c r="G1188" i="1" s="1"/>
  <c r="O1187" i="1"/>
  <c r="N1187" i="1"/>
  <c r="M1187" i="1"/>
  <c r="L1187" i="1"/>
  <c r="K1187" i="1"/>
  <c r="J1187" i="1"/>
  <c r="I1187" i="1"/>
  <c r="H1187" i="1"/>
  <c r="G1187" i="1" s="1"/>
  <c r="O1186" i="1"/>
  <c r="N1186" i="1"/>
  <c r="M1186" i="1"/>
  <c r="L1186" i="1"/>
  <c r="K1186" i="1"/>
  <c r="J1186" i="1"/>
  <c r="I1186" i="1"/>
  <c r="H1186" i="1"/>
  <c r="G1186" i="1" s="1"/>
  <c r="O1185" i="1"/>
  <c r="N1185" i="1"/>
  <c r="M1185" i="1"/>
  <c r="L1185" i="1"/>
  <c r="K1185" i="1"/>
  <c r="J1185" i="1"/>
  <c r="I1185" i="1"/>
  <c r="H1185" i="1"/>
  <c r="G1185" i="1" s="1"/>
  <c r="O1184" i="1"/>
  <c r="N1184" i="1"/>
  <c r="M1184" i="1"/>
  <c r="L1184" i="1"/>
  <c r="K1184" i="1"/>
  <c r="J1184" i="1"/>
  <c r="I1184" i="1"/>
  <c r="H1184" i="1"/>
  <c r="G1184" i="1" s="1"/>
  <c r="O1183" i="1"/>
  <c r="N1183" i="1"/>
  <c r="M1183" i="1"/>
  <c r="L1183" i="1"/>
  <c r="K1183" i="1"/>
  <c r="J1183" i="1"/>
  <c r="I1183" i="1"/>
  <c r="H1183" i="1"/>
  <c r="G1183" i="1" s="1"/>
  <c r="O1182" i="1"/>
  <c r="N1182" i="1"/>
  <c r="M1182" i="1"/>
  <c r="L1182" i="1"/>
  <c r="K1182" i="1"/>
  <c r="J1182" i="1"/>
  <c r="I1182" i="1"/>
  <c r="H1182" i="1"/>
  <c r="G1182" i="1" s="1"/>
  <c r="O1181" i="1"/>
  <c r="N1181" i="1"/>
  <c r="M1181" i="1"/>
  <c r="L1181" i="1"/>
  <c r="K1181" i="1"/>
  <c r="J1181" i="1"/>
  <c r="I1181" i="1"/>
  <c r="H1181" i="1"/>
  <c r="G1181" i="1" s="1"/>
  <c r="O1180" i="1"/>
  <c r="N1180" i="1"/>
  <c r="M1180" i="1"/>
  <c r="L1180" i="1"/>
  <c r="K1180" i="1"/>
  <c r="J1180" i="1"/>
  <c r="I1180" i="1"/>
  <c r="H1180" i="1"/>
  <c r="G1180" i="1" s="1"/>
  <c r="O1179" i="1"/>
  <c r="N1179" i="1"/>
  <c r="M1179" i="1"/>
  <c r="L1179" i="1"/>
  <c r="K1179" i="1"/>
  <c r="J1179" i="1"/>
  <c r="I1179" i="1"/>
  <c r="H1179" i="1"/>
  <c r="G1179" i="1" s="1"/>
  <c r="O1178" i="1"/>
  <c r="N1178" i="1"/>
  <c r="M1178" i="1"/>
  <c r="L1178" i="1"/>
  <c r="K1178" i="1"/>
  <c r="J1178" i="1"/>
  <c r="I1178" i="1"/>
  <c r="H1178" i="1"/>
  <c r="G1178" i="1" s="1"/>
  <c r="O1177" i="1"/>
  <c r="N1177" i="1"/>
  <c r="M1177" i="1"/>
  <c r="L1177" i="1"/>
  <c r="K1177" i="1"/>
  <c r="J1177" i="1"/>
  <c r="I1177" i="1"/>
  <c r="H1177" i="1"/>
  <c r="G1177" i="1" s="1"/>
  <c r="O1176" i="1"/>
  <c r="N1176" i="1"/>
  <c r="M1176" i="1"/>
  <c r="L1176" i="1"/>
  <c r="K1176" i="1"/>
  <c r="J1176" i="1"/>
  <c r="I1176" i="1"/>
  <c r="H1176" i="1"/>
  <c r="G1176" i="1" s="1"/>
  <c r="O1175" i="1"/>
  <c r="N1175" i="1"/>
  <c r="M1175" i="1"/>
  <c r="L1175" i="1"/>
  <c r="K1175" i="1"/>
  <c r="J1175" i="1"/>
  <c r="I1175" i="1"/>
  <c r="H1175" i="1"/>
  <c r="G1175" i="1" s="1"/>
  <c r="O1174" i="1"/>
  <c r="N1174" i="1"/>
  <c r="M1174" i="1"/>
  <c r="L1174" i="1"/>
  <c r="K1174" i="1"/>
  <c r="J1174" i="1"/>
  <c r="I1174" i="1"/>
  <c r="H1174" i="1"/>
  <c r="G1174" i="1" s="1"/>
  <c r="O1173" i="1"/>
  <c r="N1173" i="1"/>
  <c r="M1173" i="1"/>
  <c r="L1173" i="1"/>
  <c r="K1173" i="1"/>
  <c r="J1173" i="1"/>
  <c r="I1173" i="1"/>
  <c r="H1173" i="1"/>
  <c r="G1173" i="1" s="1"/>
  <c r="O1172" i="1"/>
  <c r="N1172" i="1"/>
  <c r="M1172" i="1"/>
  <c r="L1172" i="1"/>
  <c r="K1172" i="1"/>
  <c r="J1172" i="1"/>
  <c r="I1172" i="1"/>
  <c r="H1172" i="1"/>
  <c r="G1172" i="1" s="1"/>
  <c r="O1171" i="1"/>
  <c r="N1171" i="1"/>
  <c r="M1171" i="1"/>
  <c r="L1171" i="1"/>
  <c r="K1171" i="1"/>
  <c r="J1171" i="1"/>
  <c r="I1171" i="1"/>
  <c r="H1171" i="1"/>
  <c r="G1171" i="1" s="1"/>
  <c r="O1170" i="1"/>
  <c r="N1170" i="1"/>
  <c r="M1170" i="1"/>
  <c r="L1170" i="1"/>
  <c r="K1170" i="1"/>
  <c r="J1170" i="1"/>
  <c r="I1170" i="1"/>
  <c r="H1170" i="1"/>
  <c r="G1170" i="1" s="1"/>
  <c r="O1169" i="1"/>
  <c r="N1169" i="1"/>
  <c r="M1169" i="1"/>
  <c r="L1169" i="1"/>
  <c r="K1169" i="1"/>
  <c r="J1169" i="1"/>
  <c r="I1169" i="1"/>
  <c r="H1169" i="1"/>
  <c r="G1169" i="1" s="1"/>
  <c r="O1168" i="1"/>
  <c r="N1168" i="1"/>
  <c r="M1168" i="1"/>
  <c r="L1168" i="1"/>
  <c r="K1168" i="1"/>
  <c r="J1168" i="1"/>
  <c r="I1168" i="1"/>
  <c r="H1168" i="1"/>
  <c r="G1168" i="1" s="1"/>
  <c r="O1167" i="1"/>
  <c r="N1167" i="1"/>
  <c r="M1167" i="1"/>
  <c r="L1167" i="1"/>
  <c r="K1167" i="1"/>
  <c r="J1167" i="1"/>
  <c r="I1167" i="1"/>
  <c r="H1167" i="1"/>
  <c r="G1167" i="1" s="1"/>
  <c r="O1166" i="1"/>
  <c r="N1166" i="1"/>
  <c r="M1166" i="1"/>
  <c r="L1166" i="1"/>
  <c r="K1166" i="1"/>
  <c r="J1166" i="1"/>
  <c r="I1166" i="1"/>
  <c r="H1166" i="1"/>
  <c r="G1166" i="1" s="1"/>
  <c r="O1165" i="1"/>
  <c r="N1165" i="1"/>
  <c r="M1165" i="1"/>
  <c r="L1165" i="1"/>
  <c r="K1165" i="1"/>
  <c r="J1165" i="1"/>
  <c r="I1165" i="1"/>
  <c r="H1165" i="1"/>
  <c r="G1165" i="1" s="1"/>
  <c r="O1164" i="1"/>
  <c r="N1164" i="1"/>
  <c r="M1164" i="1"/>
  <c r="L1164" i="1"/>
  <c r="K1164" i="1"/>
  <c r="J1164" i="1"/>
  <c r="I1164" i="1"/>
  <c r="H1164" i="1"/>
  <c r="G1164" i="1" s="1"/>
  <c r="O1163" i="1"/>
  <c r="N1163" i="1"/>
  <c r="M1163" i="1"/>
  <c r="L1163" i="1"/>
  <c r="K1163" i="1"/>
  <c r="J1163" i="1"/>
  <c r="I1163" i="1"/>
  <c r="H1163" i="1"/>
  <c r="G1163" i="1" s="1"/>
  <c r="O1162" i="1"/>
  <c r="N1162" i="1"/>
  <c r="M1162" i="1"/>
  <c r="L1162" i="1"/>
  <c r="K1162" i="1"/>
  <c r="J1162" i="1"/>
  <c r="I1162" i="1"/>
  <c r="H1162" i="1"/>
  <c r="G1162" i="1" s="1"/>
  <c r="O1161" i="1"/>
  <c r="N1161" i="1"/>
  <c r="M1161" i="1"/>
  <c r="L1161" i="1"/>
  <c r="K1161" i="1"/>
  <c r="J1161" i="1"/>
  <c r="I1161" i="1"/>
  <c r="H1161" i="1"/>
  <c r="G1161" i="1" s="1"/>
  <c r="O1160" i="1"/>
  <c r="N1160" i="1"/>
  <c r="M1160" i="1"/>
  <c r="L1160" i="1"/>
  <c r="K1160" i="1"/>
  <c r="J1160" i="1"/>
  <c r="I1160" i="1"/>
  <c r="H1160" i="1"/>
  <c r="G1160" i="1" s="1"/>
  <c r="O1159" i="1"/>
  <c r="N1159" i="1"/>
  <c r="M1159" i="1"/>
  <c r="L1159" i="1"/>
  <c r="K1159" i="1"/>
  <c r="J1159" i="1"/>
  <c r="I1159" i="1"/>
  <c r="H1159" i="1"/>
  <c r="G1159" i="1" s="1"/>
  <c r="O1158" i="1"/>
  <c r="N1158" i="1"/>
  <c r="M1158" i="1"/>
  <c r="L1158" i="1"/>
  <c r="K1158" i="1"/>
  <c r="J1158" i="1"/>
  <c r="I1158" i="1"/>
  <c r="H1158" i="1"/>
  <c r="G1158" i="1" s="1"/>
  <c r="O1157" i="1"/>
  <c r="N1157" i="1"/>
  <c r="M1157" i="1"/>
  <c r="L1157" i="1"/>
  <c r="K1157" i="1"/>
  <c r="J1157" i="1"/>
  <c r="I1157" i="1"/>
  <c r="H1157" i="1"/>
  <c r="G1157" i="1" s="1"/>
  <c r="O1156" i="1"/>
  <c r="N1156" i="1"/>
  <c r="M1156" i="1"/>
  <c r="L1156" i="1"/>
  <c r="K1156" i="1"/>
  <c r="J1156" i="1"/>
  <c r="I1156" i="1"/>
  <c r="H1156" i="1"/>
  <c r="G1156" i="1" s="1"/>
  <c r="O1155" i="1"/>
  <c r="N1155" i="1"/>
  <c r="M1155" i="1"/>
  <c r="L1155" i="1"/>
  <c r="K1155" i="1"/>
  <c r="J1155" i="1"/>
  <c r="I1155" i="1"/>
  <c r="H1155" i="1"/>
  <c r="G1155" i="1" s="1"/>
  <c r="O1154" i="1"/>
  <c r="N1154" i="1"/>
  <c r="M1154" i="1"/>
  <c r="L1154" i="1"/>
  <c r="K1154" i="1"/>
  <c r="J1154" i="1"/>
  <c r="I1154" i="1"/>
  <c r="H1154" i="1"/>
  <c r="G1154" i="1" s="1"/>
  <c r="O1153" i="1"/>
  <c r="N1153" i="1"/>
  <c r="M1153" i="1"/>
  <c r="L1153" i="1"/>
  <c r="K1153" i="1"/>
  <c r="J1153" i="1"/>
  <c r="I1153" i="1"/>
  <c r="H1153" i="1"/>
  <c r="G1153" i="1" s="1"/>
  <c r="O1152" i="1"/>
  <c r="N1152" i="1"/>
  <c r="M1152" i="1"/>
  <c r="L1152" i="1"/>
  <c r="K1152" i="1"/>
  <c r="J1152" i="1"/>
  <c r="I1152" i="1"/>
  <c r="H1152" i="1"/>
  <c r="G1152" i="1" s="1"/>
  <c r="O1151" i="1"/>
  <c r="N1151" i="1"/>
  <c r="M1151" i="1"/>
  <c r="L1151" i="1"/>
  <c r="K1151" i="1"/>
  <c r="J1151" i="1"/>
  <c r="I1151" i="1"/>
  <c r="H1151" i="1"/>
  <c r="G1151" i="1" s="1"/>
  <c r="O1150" i="1"/>
  <c r="N1150" i="1"/>
  <c r="M1150" i="1"/>
  <c r="L1150" i="1"/>
  <c r="K1150" i="1"/>
  <c r="J1150" i="1"/>
  <c r="I1150" i="1"/>
  <c r="H1150" i="1"/>
  <c r="G1150" i="1" s="1"/>
  <c r="O1149" i="1"/>
  <c r="N1149" i="1"/>
  <c r="M1149" i="1"/>
  <c r="L1149" i="1"/>
  <c r="K1149" i="1"/>
  <c r="J1149" i="1"/>
  <c r="I1149" i="1"/>
  <c r="H1149" i="1"/>
  <c r="G1149" i="1" s="1"/>
  <c r="O1148" i="1"/>
  <c r="N1148" i="1"/>
  <c r="M1148" i="1"/>
  <c r="L1148" i="1"/>
  <c r="K1148" i="1"/>
  <c r="J1148" i="1"/>
  <c r="I1148" i="1"/>
  <c r="H1148" i="1"/>
  <c r="G1148" i="1" s="1"/>
  <c r="O1147" i="1"/>
  <c r="N1147" i="1"/>
  <c r="M1147" i="1"/>
  <c r="L1147" i="1"/>
  <c r="K1147" i="1"/>
  <c r="J1147" i="1"/>
  <c r="I1147" i="1"/>
  <c r="H1147" i="1"/>
  <c r="G1147" i="1" s="1"/>
  <c r="O1146" i="1"/>
  <c r="N1146" i="1"/>
  <c r="M1146" i="1"/>
  <c r="L1146" i="1"/>
  <c r="K1146" i="1"/>
  <c r="J1146" i="1"/>
  <c r="I1146" i="1"/>
  <c r="H1146" i="1"/>
  <c r="G1146" i="1" s="1"/>
  <c r="O1145" i="1"/>
  <c r="N1145" i="1"/>
  <c r="M1145" i="1"/>
  <c r="L1145" i="1"/>
  <c r="K1145" i="1"/>
  <c r="J1145" i="1"/>
  <c r="I1145" i="1"/>
  <c r="H1145" i="1"/>
  <c r="G1145" i="1" s="1"/>
  <c r="O1144" i="1"/>
  <c r="N1144" i="1"/>
  <c r="M1144" i="1"/>
  <c r="L1144" i="1"/>
  <c r="K1144" i="1"/>
  <c r="J1144" i="1"/>
  <c r="I1144" i="1"/>
  <c r="H1144" i="1"/>
  <c r="G1144" i="1" s="1"/>
  <c r="O1143" i="1"/>
  <c r="N1143" i="1"/>
  <c r="M1143" i="1"/>
  <c r="L1143" i="1"/>
  <c r="K1143" i="1"/>
  <c r="J1143" i="1"/>
  <c r="I1143" i="1"/>
  <c r="H1143" i="1"/>
  <c r="G1143" i="1" s="1"/>
  <c r="O1142" i="1"/>
  <c r="N1142" i="1"/>
  <c r="M1142" i="1"/>
  <c r="L1142" i="1"/>
  <c r="K1142" i="1"/>
  <c r="J1142" i="1"/>
  <c r="I1142" i="1"/>
  <c r="H1142" i="1"/>
  <c r="G1142" i="1" s="1"/>
  <c r="O1141" i="1"/>
  <c r="N1141" i="1"/>
  <c r="M1141" i="1"/>
  <c r="L1141" i="1"/>
  <c r="K1141" i="1"/>
  <c r="J1141" i="1"/>
  <c r="I1141" i="1"/>
  <c r="H1141" i="1"/>
  <c r="G1141" i="1" s="1"/>
  <c r="O1140" i="1"/>
  <c r="N1140" i="1"/>
  <c r="M1140" i="1"/>
  <c r="L1140" i="1"/>
  <c r="K1140" i="1"/>
  <c r="J1140" i="1"/>
  <c r="I1140" i="1"/>
  <c r="H1140" i="1"/>
  <c r="G1140" i="1" s="1"/>
  <c r="O1139" i="1"/>
  <c r="N1139" i="1"/>
  <c r="M1139" i="1"/>
  <c r="L1139" i="1"/>
  <c r="K1139" i="1"/>
  <c r="J1139" i="1"/>
  <c r="I1139" i="1"/>
  <c r="H1139" i="1"/>
  <c r="G1139" i="1" s="1"/>
  <c r="O1138" i="1"/>
  <c r="N1138" i="1"/>
  <c r="M1138" i="1"/>
  <c r="L1138" i="1"/>
  <c r="K1138" i="1"/>
  <c r="J1138" i="1"/>
  <c r="I1138" i="1"/>
  <c r="H1138" i="1"/>
  <c r="G1138" i="1" s="1"/>
  <c r="O1137" i="1"/>
  <c r="N1137" i="1"/>
  <c r="M1137" i="1"/>
  <c r="L1137" i="1"/>
  <c r="K1137" i="1"/>
  <c r="J1137" i="1"/>
  <c r="I1137" i="1"/>
  <c r="H1137" i="1"/>
  <c r="G1137" i="1" s="1"/>
  <c r="O1136" i="1"/>
  <c r="N1136" i="1"/>
  <c r="M1136" i="1"/>
  <c r="L1136" i="1"/>
  <c r="K1136" i="1"/>
  <c r="J1136" i="1"/>
  <c r="I1136" i="1"/>
  <c r="H1136" i="1"/>
  <c r="G1136" i="1" s="1"/>
  <c r="O1135" i="1"/>
  <c r="N1135" i="1"/>
  <c r="M1135" i="1"/>
  <c r="L1135" i="1"/>
  <c r="K1135" i="1"/>
  <c r="J1135" i="1"/>
  <c r="I1135" i="1"/>
  <c r="H1135" i="1"/>
  <c r="G1135" i="1" s="1"/>
  <c r="O1134" i="1"/>
  <c r="N1134" i="1"/>
  <c r="M1134" i="1"/>
  <c r="L1134" i="1"/>
  <c r="K1134" i="1"/>
  <c r="J1134" i="1"/>
  <c r="I1134" i="1"/>
  <c r="H1134" i="1"/>
  <c r="G1134" i="1" s="1"/>
  <c r="O1133" i="1"/>
  <c r="N1133" i="1"/>
  <c r="M1133" i="1"/>
  <c r="L1133" i="1"/>
  <c r="K1133" i="1"/>
  <c r="J1133" i="1"/>
  <c r="I1133" i="1"/>
  <c r="H1133" i="1"/>
  <c r="G1133" i="1" s="1"/>
  <c r="O1132" i="1"/>
  <c r="N1132" i="1"/>
  <c r="M1132" i="1"/>
  <c r="L1132" i="1"/>
  <c r="K1132" i="1"/>
  <c r="J1132" i="1"/>
  <c r="I1132" i="1"/>
  <c r="H1132" i="1"/>
  <c r="G1132" i="1" s="1"/>
  <c r="O1131" i="1"/>
  <c r="N1131" i="1"/>
  <c r="M1131" i="1"/>
  <c r="L1131" i="1"/>
  <c r="K1131" i="1"/>
  <c r="J1131" i="1"/>
  <c r="I1131" i="1"/>
  <c r="H1131" i="1"/>
  <c r="G1131" i="1" s="1"/>
  <c r="O1130" i="1"/>
  <c r="N1130" i="1"/>
  <c r="M1130" i="1"/>
  <c r="L1130" i="1"/>
  <c r="K1130" i="1"/>
  <c r="J1130" i="1"/>
  <c r="I1130" i="1"/>
  <c r="H1130" i="1"/>
  <c r="G1130" i="1" s="1"/>
  <c r="O1129" i="1"/>
  <c r="N1129" i="1"/>
  <c r="M1129" i="1"/>
  <c r="L1129" i="1"/>
  <c r="K1129" i="1"/>
  <c r="J1129" i="1"/>
  <c r="I1129" i="1"/>
  <c r="H1129" i="1"/>
  <c r="G1129" i="1" s="1"/>
  <c r="O1128" i="1"/>
  <c r="N1128" i="1"/>
  <c r="M1128" i="1"/>
  <c r="L1128" i="1"/>
  <c r="K1128" i="1"/>
  <c r="J1128" i="1"/>
  <c r="I1128" i="1"/>
  <c r="H1128" i="1"/>
  <c r="G1128" i="1" s="1"/>
  <c r="O1127" i="1"/>
  <c r="N1127" i="1"/>
  <c r="M1127" i="1"/>
  <c r="L1127" i="1"/>
  <c r="K1127" i="1"/>
  <c r="J1127" i="1"/>
  <c r="I1127" i="1"/>
  <c r="H1127" i="1"/>
  <c r="G1127" i="1" s="1"/>
  <c r="O1126" i="1"/>
  <c r="N1126" i="1"/>
  <c r="M1126" i="1"/>
  <c r="L1126" i="1"/>
  <c r="K1126" i="1"/>
  <c r="J1126" i="1"/>
  <c r="I1126" i="1"/>
  <c r="H1126" i="1"/>
  <c r="G1126" i="1" s="1"/>
  <c r="O1125" i="1"/>
  <c r="N1125" i="1"/>
  <c r="M1125" i="1"/>
  <c r="L1125" i="1"/>
  <c r="K1125" i="1"/>
  <c r="J1125" i="1"/>
  <c r="I1125" i="1"/>
  <c r="H1125" i="1"/>
  <c r="G1125" i="1" s="1"/>
  <c r="O1124" i="1"/>
  <c r="N1124" i="1"/>
  <c r="M1124" i="1"/>
  <c r="L1124" i="1"/>
  <c r="K1124" i="1"/>
  <c r="J1124" i="1"/>
  <c r="I1124" i="1"/>
  <c r="H1124" i="1"/>
  <c r="G1124" i="1" s="1"/>
  <c r="O1123" i="1"/>
  <c r="N1123" i="1"/>
  <c r="M1123" i="1"/>
  <c r="L1123" i="1"/>
  <c r="K1123" i="1"/>
  <c r="J1123" i="1"/>
  <c r="I1123" i="1"/>
  <c r="H1123" i="1"/>
  <c r="G1123" i="1" s="1"/>
  <c r="O1122" i="1"/>
  <c r="N1122" i="1"/>
  <c r="M1122" i="1"/>
  <c r="L1122" i="1"/>
  <c r="K1122" i="1"/>
  <c r="J1122" i="1"/>
  <c r="I1122" i="1"/>
  <c r="H1122" i="1"/>
  <c r="G1122" i="1" s="1"/>
  <c r="O1121" i="1"/>
  <c r="N1121" i="1"/>
  <c r="M1121" i="1"/>
  <c r="L1121" i="1"/>
  <c r="K1121" i="1"/>
  <c r="J1121" i="1"/>
  <c r="I1121" i="1"/>
  <c r="H1121" i="1"/>
  <c r="G1121" i="1" s="1"/>
  <c r="O1120" i="1"/>
  <c r="N1120" i="1"/>
  <c r="M1120" i="1"/>
  <c r="L1120" i="1"/>
  <c r="K1120" i="1"/>
  <c r="J1120" i="1"/>
  <c r="I1120" i="1"/>
  <c r="H1120" i="1"/>
  <c r="G1120" i="1" s="1"/>
  <c r="O1119" i="1"/>
  <c r="N1119" i="1"/>
  <c r="M1119" i="1"/>
  <c r="L1119" i="1"/>
  <c r="K1119" i="1"/>
  <c r="J1119" i="1"/>
  <c r="I1119" i="1"/>
  <c r="H1119" i="1"/>
  <c r="G1119" i="1" s="1"/>
  <c r="O1118" i="1"/>
  <c r="N1118" i="1"/>
  <c r="M1118" i="1"/>
  <c r="L1118" i="1"/>
  <c r="K1118" i="1"/>
  <c r="J1118" i="1"/>
  <c r="I1118" i="1"/>
  <c r="H1118" i="1"/>
  <c r="G1118" i="1" s="1"/>
  <c r="O1117" i="1"/>
  <c r="N1117" i="1"/>
  <c r="M1117" i="1"/>
  <c r="L1117" i="1"/>
  <c r="K1117" i="1"/>
  <c r="J1117" i="1"/>
  <c r="I1117" i="1"/>
  <c r="H1117" i="1"/>
  <c r="G1117" i="1" s="1"/>
  <c r="O1116" i="1"/>
  <c r="N1116" i="1"/>
  <c r="M1116" i="1"/>
  <c r="L1116" i="1"/>
  <c r="K1116" i="1"/>
  <c r="J1116" i="1"/>
  <c r="I1116" i="1"/>
  <c r="H1116" i="1"/>
  <c r="G1116" i="1" s="1"/>
  <c r="O1115" i="1"/>
  <c r="N1115" i="1"/>
  <c r="M1115" i="1"/>
  <c r="L1115" i="1"/>
  <c r="K1115" i="1"/>
  <c r="J1115" i="1"/>
  <c r="I1115" i="1"/>
  <c r="H1115" i="1"/>
  <c r="G1115" i="1" s="1"/>
  <c r="O1114" i="1"/>
  <c r="N1114" i="1"/>
  <c r="M1114" i="1"/>
  <c r="L1114" i="1"/>
  <c r="K1114" i="1"/>
  <c r="J1114" i="1"/>
  <c r="I1114" i="1"/>
  <c r="H1114" i="1"/>
  <c r="G1114" i="1" s="1"/>
  <c r="O1113" i="1"/>
  <c r="N1113" i="1"/>
  <c r="M1113" i="1"/>
  <c r="L1113" i="1"/>
  <c r="K1113" i="1"/>
  <c r="J1113" i="1"/>
  <c r="I1113" i="1"/>
  <c r="H1113" i="1"/>
  <c r="G1113" i="1" s="1"/>
  <c r="O1112" i="1"/>
  <c r="N1112" i="1"/>
  <c r="M1112" i="1"/>
  <c r="L1112" i="1"/>
  <c r="K1112" i="1"/>
  <c r="J1112" i="1"/>
  <c r="I1112" i="1"/>
  <c r="H1112" i="1"/>
  <c r="G1112" i="1" s="1"/>
  <c r="O1111" i="1"/>
  <c r="N1111" i="1"/>
  <c r="M1111" i="1"/>
  <c r="L1111" i="1"/>
  <c r="K1111" i="1"/>
  <c r="J1111" i="1"/>
  <c r="I1111" i="1"/>
  <c r="H1111" i="1"/>
  <c r="G1111" i="1" s="1"/>
  <c r="O1110" i="1"/>
  <c r="N1110" i="1"/>
  <c r="M1110" i="1"/>
  <c r="L1110" i="1"/>
  <c r="K1110" i="1"/>
  <c r="J1110" i="1"/>
  <c r="I1110" i="1"/>
  <c r="H1110" i="1"/>
  <c r="G1110" i="1" s="1"/>
  <c r="O1109" i="1"/>
  <c r="N1109" i="1"/>
  <c r="M1109" i="1"/>
  <c r="L1109" i="1"/>
  <c r="K1109" i="1"/>
  <c r="J1109" i="1"/>
  <c r="I1109" i="1"/>
  <c r="H1109" i="1"/>
  <c r="G1109" i="1" s="1"/>
  <c r="O1108" i="1"/>
  <c r="N1108" i="1"/>
  <c r="M1108" i="1"/>
  <c r="L1108" i="1"/>
  <c r="K1108" i="1"/>
  <c r="J1108" i="1"/>
  <c r="I1108" i="1"/>
  <c r="H1108" i="1"/>
  <c r="G1108" i="1" s="1"/>
  <c r="O1107" i="1"/>
  <c r="N1107" i="1"/>
  <c r="M1107" i="1"/>
  <c r="L1107" i="1"/>
  <c r="K1107" i="1"/>
  <c r="J1107" i="1"/>
  <c r="I1107" i="1"/>
  <c r="H1107" i="1"/>
  <c r="G1107" i="1" s="1"/>
  <c r="O1106" i="1"/>
  <c r="N1106" i="1"/>
  <c r="M1106" i="1"/>
  <c r="L1106" i="1"/>
  <c r="K1106" i="1"/>
  <c r="J1106" i="1"/>
  <c r="I1106" i="1"/>
  <c r="H1106" i="1"/>
  <c r="G1106" i="1" s="1"/>
  <c r="O1105" i="1"/>
  <c r="N1105" i="1"/>
  <c r="M1105" i="1"/>
  <c r="L1105" i="1"/>
  <c r="K1105" i="1"/>
  <c r="J1105" i="1"/>
  <c r="I1105" i="1"/>
  <c r="H1105" i="1"/>
  <c r="G1105" i="1" s="1"/>
  <c r="O1104" i="1"/>
  <c r="N1104" i="1"/>
  <c r="M1104" i="1"/>
  <c r="L1104" i="1"/>
  <c r="K1104" i="1"/>
  <c r="J1104" i="1"/>
  <c r="I1104" i="1"/>
  <c r="H1104" i="1"/>
  <c r="G1104" i="1" s="1"/>
  <c r="O1103" i="1"/>
  <c r="N1103" i="1"/>
  <c r="M1103" i="1"/>
  <c r="L1103" i="1"/>
  <c r="K1103" i="1"/>
  <c r="J1103" i="1"/>
  <c r="I1103" i="1"/>
  <c r="H1103" i="1"/>
  <c r="G1103" i="1" s="1"/>
  <c r="O1102" i="1"/>
  <c r="N1102" i="1"/>
  <c r="M1102" i="1"/>
  <c r="L1102" i="1"/>
  <c r="K1102" i="1"/>
  <c r="J1102" i="1"/>
  <c r="I1102" i="1"/>
  <c r="H1102" i="1"/>
  <c r="G1102" i="1" s="1"/>
  <c r="O1101" i="1"/>
  <c r="N1101" i="1"/>
  <c r="M1101" i="1"/>
  <c r="L1101" i="1"/>
  <c r="K1101" i="1"/>
  <c r="J1101" i="1"/>
  <c r="I1101" i="1"/>
  <c r="H1101" i="1"/>
  <c r="G1101" i="1" s="1"/>
  <c r="O1100" i="1"/>
  <c r="N1100" i="1"/>
  <c r="M1100" i="1"/>
  <c r="L1100" i="1"/>
  <c r="K1100" i="1"/>
  <c r="J1100" i="1"/>
  <c r="I1100" i="1"/>
  <c r="H1100" i="1"/>
  <c r="G1100" i="1" s="1"/>
  <c r="O1099" i="1"/>
  <c r="N1099" i="1"/>
  <c r="M1099" i="1"/>
  <c r="L1099" i="1"/>
  <c r="K1099" i="1"/>
  <c r="J1099" i="1"/>
  <c r="I1099" i="1"/>
  <c r="H1099" i="1"/>
  <c r="G1099" i="1" s="1"/>
  <c r="O1098" i="1"/>
  <c r="N1098" i="1"/>
  <c r="M1098" i="1"/>
  <c r="L1098" i="1"/>
  <c r="K1098" i="1"/>
  <c r="J1098" i="1"/>
  <c r="I1098" i="1"/>
  <c r="H1098" i="1"/>
  <c r="G1098" i="1" s="1"/>
  <c r="O1097" i="1"/>
  <c r="N1097" i="1"/>
  <c r="M1097" i="1"/>
  <c r="L1097" i="1"/>
  <c r="K1097" i="1"/>
  <c r="J1097" i="1"/>
  <c r="I1097" i="1"/>
  <c r="H1097" i="1"/>
  <c r="G1097" i="1" s="1"/>
  <c r="O1096" i="1"/>
  <c r="N1096" i="1"/>
  <c r="M1096" i="1"/>
  <c r="L1096" i="1"/>
  <c r="K1096" i="1"/>
  <c r="J1096" i="1"/>
  <c r="I1096" i="1"/>
  <c r="H1096" i="1"/>
  <c r="G1096" i="1" s="1"/>
  <c r="O1095" i="1"/>
  <c r="N1095" i="1"/>
  <c r="M1095" i="1"/>
  <c r="L1095" i="1"/>
  <c r="K1095" i="1"/>
  <c r="J1095" i="1"/>
  <c r="I1095" i="1"/>
  <c r="H1095" i="1"/>
  <c r="G1095" i="1" s="1"/>
  <c r="O1094" i="1"/>
  <c r="N1094" i="1"/>
  <c r="M1094" i="1"/>
  <c r="L1094" i="1"/>
  <c r="K1094" i="1"/>
  <c r="J1094" i="1"/>
  <c r="I1094" i="1"/>
  <c r="H1094" i="1"/>
  <c r="G1094" i="1" s="1"/>
  <c r="O1093" i="1"/>
  <c r="N1093" i="1"/>
  <c r="M1093" i="1"/>
  <c r="L1093" i="1"/>
  <c r="K1093" i="1"/>
  <c r="J1093" i="1"/>
  <c r="I1093" i="1"/>
  <c r="H1093" i="1"/>
  <c r="G1093" i="1" s="1"/>
  <c r="O1092" i="1"/>
  <c r="N1092" i="1"/>
  <c r="M1092" i="1"/>
  <c r="L1092" i="1"/>
  <c r="K1092" i="1"/>
  <c r="J1092" i="1"/>
  <c r="I1092" i="1"/>
  <c r="H1092" i="1"/>
  <c r="G1092" i="1" s="1"/>
  <c r="O1091" i="1"/>
  <c r="N1091" i="1"/>
  <c r="M1091" i="1"/>
  <c r="L1091" i="1"/>
  <c r="K1091" i="1"/>
  <c r="J1091" i="1"/>
  <c r="I1091" i="1"/>
  <c r="H1091" i="1"/>
  <c r="G1091" i="1" s="1"/>
  <c r="O1090" i="1"/>
  <c r="N1090" i="1"/>
  <c r="M1090" i="1"/>
  <c r="L1090" i="1"/>
  <c r="K1090" i="1"/>
  <c r="J1090" i="1"/>
  <c r="I1090" i="1"/>
  <c r="H1090" i="1"/>
  <c r="G1090" i="1" s="1"/>
  <c r="O1089" i="1"/>
  <c r="N1089" i="1"/>
  <c r="M1089" i="1"/>
  <c r="L1089" i="1"/>
  <c r="K1089" i="1"/>
  <c r="J1089" i="1"/>
  <c r="I1089" i="1"/>
  <c r="H1089" i="1"/>
  <c r="G1089" i="1" s="1"/>
  <c r="O1088" i="1"/>
  <c r="N1088" i="1"/>
  <c r="M1088" i="1"/>
  <c r="L1088" i="1"/>
  <c r="K1088" i="1"/>
  <c r="J1088" i="1"/>
  <c r="I1088" i="1"/>
  <c r="H1088" i="1"/>
  <c r="G1088" i="1" s="1"/>
  <c r="O1087" i="1"/>
  <c r="N1087" i="1"/>
  <c r="M1087" i="1"/>
  <c r="L1087" i="1"/>
  <c r="K1087" i="1"/>
  <c r="J1087" i="1"/>
  <c r="I1087" i="1"/>
  <c r="H1087" i="1"/>
  <c r="G1087" i="1" s="1"/>
  <c r="O1086" i="1"/>
  <c r="N1086" i="1"/>
  <c r="M1086" i="1"/>
  <c r="L1086" i="1"/>
  <c r="K1086" i="1"/>
  <c r="J1086" i="1"/>
  <c r="I1086" i="1"/>
  <c r="H1086" i="1"/>
  <c r="G1086" i="1" s="1"/>
  <c r="O1085" i="1"/>
  <c r="N1085" i="1"/>
  <c r="M1085" i="1"/>
  <c r="L1085" i="1"/>
  <c r="K1085" i="1"/>
  <c r="J1085" i="1"/>
  <c r="I1085" i="1"/>
  <c r="H1085" i="1"/>
  <c r="G1085" i="1" s="1"/>
  <c r="O1084" i="1"/>
  <c r="N1084" i="1"/>
  <c r="M1084" i="1"/>
  <c r="L1084" i="1"/>
  <c r="K1084" i="1"/>
  <c r="J1084" i="1"/>
  <c r="I1084" i="1"/>
  <c r="H1084" i="1"/>
  <c r="G1084" i="1" s="1"/>
  <c r="O1083" i="1"/>
  <c r="N1083" i="1"/>
  <c r="M1083" i="1"/>
  <c r="L1083" i="1"/>
  <c r="K1083" i="1"/>
  <c r="J1083" i="1"/>
  <c r="I1083" i="1"/>
  <c r="H1083" i="1"/>
  <c r="G1083" i="1" s="1"/>
  <c r="O1082" i="1"/>
  <c r="N1082" i="1"/>
  <c r="M1082" i="1"/>
  <c r="L1082" i="1"/>
  <c r="K1082" i="1"/>
  <c r="J1082" i="1"/>
  <c r="I1082" i="1"/>
  <c r="H1082" i="1"/>
  <c r="G1082" i="1" s="1"/>
  <c r="O1081" i="1"/>
  <c r="N1081" i="1"/>
  <c r="M1081" i="1"/>
  <c r="L1081" i="1"/>
  <c r="K1081" i="1"/>
  <c r="J1081" i="1"/>
  <c r="I1081" i="1"/>
  <c r="H1081" i="1"/>
  <c r="G1081" i="1" s="1"/>
  <c r="O1080" i="1"/>
  <c r="N1080" i="1"/>
  <c r="M1080" i="1"/>
  <c r="L1080" i="1"/>
  <c r="K1080" i="1"/>
  <c r="J1080" i="1"/>
  <c r="I1080" i="1"/>
  <c r="H1080" i="1"/>
  <c r="G1080" i="1" s="1"/>
  <c r="O1079" i="1"/>
  <c r="N1079" i="1"/>
  <c r="M1079" i="1"/>
  <c r="L1079" i="1"/>
  <c r="K1079" i="1"/>
  <c r="J1079" i="1"/>
  <c r="I1079" i="1"/>
  <c r="H1079" i="1"/>
  <c r="G1079" i="1" s="1"/>
  <c r="O1078" i="1"/>
  <c r="N1078" i="1"/>
  <c r="M1078" i="1"/>
  <c r="L1078" i="1"/>
  <c r="K1078" i="1"/>
  <c r="J1078" i="1"/>
  <c r="I1078" i="1"/>
  <c r="H1078" i="1"/>
  <c r="G1078" i="1" s="1"/>
  <c r="O1077" i="1"/>
  <c r="N1077" i="1"/>
  <c r="M1077" i="1"/>
  <c r="L1077" i="1"/>
  <c r="K1077" i="1"/>
  <c r="J1077" i="1"/>
  <c r="I1077" i="1"/>
  <c r="H1077" i="1"/>
  <c r="G1077" i="1" s="1"/>
  <c r="O1076" i="1"/>
  <c r="N1076" i="1"/>
  <c r="M1076" i="1"/>
  <c r="L1076" i="1"/>
  <c r="K1076" i="1"/>
  <c r="J1076" i="1"/>
  <c r="I1076" i="1"/>
  <c r="H1076" i="1"/>
  <c r="G1076" i="1" s="1"/>
  <c r="O1075" i="1"/>
  <c r="N1075" i="1"/>
  <c r="M1075" i="1"/>
  <c r="L1075" i="1"/>
  <c r="K1075" i="1"/>
  <c r="J1075" i="1"/>
  <c r="I1075" i="1"/>
  <c r="H1075" i="1"/>
  <c r="G1075" i="1" s="1"/>
  <c r="O1074" i="1"/>
  <c r="N1074" i="1"/>
  <c r="M1074" i="1"/>
  <c r="L1074" i="1"/>
  <c r="K1074" i="1"/>
  <c r="J1074" i="1"/>
  <c r="I1074" i="1"/>
  <c r="H1074" i="1"/>
  <c r="G1074" i="1" s="1"/>
  <c r="O1073" i="1"/>
  <c r="N1073" i="1"/>
  <c r="M1073" i="1"/>
  <c r="L1073" i="1"/>
  <c r="K1073" i="1"/>
  <c r="J1073" i="1"/>
  <c r="I1073" i="1"/>
  <c r="H1073" i="1"/>
  <c r="G1073" i="1" s="1"/>
  <c r="O1072" i="1"/>
  <c r="N1072" i="1"/>
  <c r="M1072" i="1"/>
  <c r="L1072" i="1"/>
  <c r="K1072" i="1"/>
  <c r="J1072" i="1"/>
  <c r="I1072" i="1"/>
  <c r="H1072" i="1"/>
  <c r="G1072" i="1" s="1"/>
  <c r="O1071" i="1"/>
  <c r="N1071" i="1"/>
  <c r="M1071" i="1"/>
  <c r="L1071" i="1"/>
  <c r="K1071" i="1"/>
  <c r="J1071" i="1"/>
  <c r="I1071" i="1"/>
  <c r="H1071" i="1"/>
  <c r="G1071" i="1" s="1"/>
  <c r="O1070" i="1"/>
  <c r="N1070" i="1"/>
  <c r="M1070" i="1"/>
  <c r="L1070" i="1"/>
  <c r="K1070" i="1"/>
  <c r="J1070" i="1"/>
  <c r="I1070" i="1"/>
  <c r="H1070" i="1"/>
  <c r="G1070" i="1" s="1"/>
  <c r="O1069" i="1"/>
  <c r="N1069" i="1"/>
  <c r="M1069" i="1"/>
  <c r="L1069" i="1"/>
  <c r="K1069" i="1"/>
  <c r="J1069" i="1"/>
  <c r="I1069" i="1"/>
  <c r="H1069" i="1"/>
  <c r="G1069" i="1" s="1"/>
  <c r="O1068" i="1"/>
  <c r="N1068" i="1"/>
  <c r="M1068" i="1"/>
  <c r="L1068" i="1"/>
  <c r="K1068" i="1"/>
  <c r="J1068" i="1"/>
  <c r="I1068" i="1"/>
  <c r="H1068" i="1"/>
  <c r="G1068" i="1" s="1"/>
  <c r="O1067" i="1"/>
  <c r="N1067" i="1"/>
  <c r="M1067" i="1"/>
  <c r="L1067" i="1"/>
  <c r="K1067" i="1"/>
  <c r="J1067" i="1"/>
  <c r="I1067" i="1"/>
  <c r="H1067" i="1"/>
  <c r="G1067" i="1" s="1"/>
  <c r="O1066" i="1"/>
  <c r="N1066" i="1"/>
  <c r="M1066" i="1"/>
  <c r="L1066" i="1"/>
  <c r="K1066" i="1"/>
  <c r="J1066" i="1"/>
  <c r="I1066" i="1"/>
  <c r="H1066" i="1"/>
  <c r="G1066" i="1" s="1"/>
  <c r="O1065" i="1"/>
  <c r="N1065" i="1"/>
  <c r="M1065" i="1"/>
  <c r="L1065" i="1"/>
  <c r="K1065" i="1"/>
  <c r="J1065" i="1"/>
  <c r="I1065" i="1"/>
  <c r="H1065" i="1"/>
  <c r="G1065" i="1" s="1"/>
  <c r="O1064" i="1"/>
  <c r="N1064" i="1"/>
  <c r="M1064" i="1"/>
  <c r="L1064" i="1"/>
  <c r="K1064" i="1"/>
  <c r="J1064" i="1"/>
  <c r="I1064" i="1"/>
  <c r="H1064" i="1"/>
  <c r="G1064" i="1" s="1"/>
  <c r="O1063" i="1"/>
  <c r="N1063" i="1"/>
  <c r="M1063" i="1"/>
  <c r="L1063" i="1"/>
  <c r="K1063" i="1"/>
  <c r="J1063" i="1"/>
  <c r="I1063" i="1"/>
  <c r="H1063" i="1"/>
  <c r="G1063" i="1" s="1"/>
  <c r="O1062" i="1"/>
  <c r="N1062" i="1"/>
  <c r="M1062" i="1"/>
  <c r="L1062" i="1"/>
  <c r="K1062" i="1"/>
  <c r="J1062" i="1"/>
  <c r="I1062" i="1"/>
  <c r="H1062" i="1"/>
  <c r="G1062" i="1" s="1"/>
  <c r="O1061" i="1"/>
  <c r="N1061" i="1"/>
  <c r="M1061" i="1"/>
  <c r="L1061" i="1"/>
  <c r="K1061" i="1"/>
  <c r="J1061" i="1"/>
  <c r="I1061" i="1"/>
  <c r="H1061" i="1"/>
  <c r="G1061" i="1" s="1"/>
  <c r="O1060" i="1"/>
  <c r="N1060" i="1"/>
  <c r="M1060" i="1"/>
  <c r="L1060" i="1"/>
  <c r="K1060" i="1"/>
  <c r="J1060" i="1"/>
  <c r="I1060" i="1"/>
  <c r="H1060" i="1"/>
  <c r="G1060" i="1" s="1"/>
  <c r="O1059" i="1"/>
  <c r="N1059" i="1"/>
  <c r="M1059" i="1"/>
  <c r="L1059" i="1"/>
  <c r="K1059" i="1"/>
  <c r="J1059" i="1"/>
  <c r="I1059" i="1"/>
  <c r="H1059" i="1"/>
  <c r="G1059" i="1" s="1"/>
  <c r="O1058" i="1"/>
  <c r="N1058" i="1"/>
  <c r="M1058" i="1"/>
  <c r="L1058" i="1"/>
  <c r="K1058" i="1"/>
  <c r="J1058" i="1"/>
  <c r="I1058" i="1"/>
  <c r="H1058" i="1"/>
  <c r="G1058" i="1" s="1"/>
  <c r="O1057" i="1"/>
  <c r="N1057" i="1"/>
  <c r="M1057" i="1"/>
  <c r="L1057" i="1"/>
  <c r="K1057" i="1"/>
  <c r="J1057" i="1"/>
  <c r="I1057" i="1"/>
  <c r="H1057" i="1"/>
  <c r="G1057" i="1" s="1"/>
  <c r="O1056" i="1"/>
  <c r="N1056" i="1"/>
  <c r="M1056" i="1"/>
  <c r="L1056" i="1"/>
  <c r="K1056" i="1"/>
  <c r="J1056" i="1"/>
  <c r="I1056" i="1"/>
  <c r="H1056" i="1"/>
  <c r="G1056" i="1" s="1"/>
  <c r="O1055" i="1"/>
  <c r="N1055" i="1"/>
  <c r="M1055" i="1"/>
  <c r="L1055" i="1"/>
  <c r="K1055" i="1"/>
  <c r="J1055" i="1"/>
  <c r="I1055" i="1"/>
  <c r="H1055" i="1"/>
  <c r="G1055" i="1" s="1"/>
  <c r="O1054" i="1"/>
  <c r="N1054" i="1"/>
  <c r="M1054" i="1"/>
  <c r="L1054" i="1"/>
  <c r="K1054" i="1"/>
  <c r="J1054" i="1"/>
  <c r="I1054" i="1"/>
  <c r="H1054" i="1"/>
  <c r="G1054" i="1" s="1"/>
  <c r="O1053" i="1"/>
  <c r="N1053" i="1"/>
  <c r="M1053" i="1"/>
  <c r="L1053" i="1"/>
  <c r="K1053" i="1"/>
  <c r="J1053" i="1"/>
  <c r="I1053" i="1"/>
  <c r="H1053" i="1"/>
  <c r="G1053" i="1" s="1"/>
  <c r="O1052" i="1"/>
  <c r="N1052" i="1"/>
  <c r="M1052" i="1"/>
  <c r="L1052" i="1"/>
  <c r="K1052" i="1"/>
  <c r="J1052" i="1"/>
  <c r="I1052" i="1"/>
  <c r="H1052" i="1"/>
  <c r="G1052" i="1" s="1"/>
  <c r="O1051" i="1"/>
  <c r="N1051" i="1"/>
  <c r="M1051" i="1"/>
  <c r="L1051" i="1"/>
  <c r="K1051" i="1"/>
  <c r="J1051" i="1"/>
  <c r="I1051" i="1"/>
  <c r="H1051" i="1"/>
  <c r="G1051" i="1" s="1"/>
  <c r="O1050" i="1"/>
  <c r="N1050" i="1"/>
  <c r="M1050" i="1"/>
  <c r="L1050" i="1"/>
  <c r="K1050" i="1"/>
  <c r="J1050" i="1"/>
  <c r="I1050" i="1"/>
  <c r="H1050" i="1"/>
  <c r="G1050" i="1" s="1"/>
  <c r="O1049" i="1"/>
  <c r="N1049" i="1"/>
  <c r="M1049" i="1"/>
  <c r="L1049" i="1"/>
  <c r="K1049" i="1"/>
  <c r="J1049" i="1"/>
  <c r="I1049" i="1"/>
  <c r="H1049" i="1"/>
  <c r="G1049" i="1" s="1"/>
  <c r="O1048" i="1"/>
  <c r="N1048" i="1"/>
  <c r="M1048" i="1"/>
  <c r="L1048" i="1"/>
  <c r="K1048" i="1"/>
  <c r="J1048" i="1"/>
  <c r="I1048" i="1"/>
  <c r="H1048" i="1"/>
  <c r="G1048" i="1" s="1"/>
  <c r="O1047" i="1"/>
  <c r="N1047" i="1"/>
  <c r="M1047" i="1"/>
  <c r="L1047" i="1"/>
  <c r="K1047" i="1"/>
  <c r="J1047" i="1"/>
  <c r="I1047" i="1"/>
  <c r="H1047" i="1"/>
  <c r="G1047" i="1" s="1"/>
  <c r="O1046" i="1"/>
  <c r="N1046" i="1"/>
  <c r="M1046" i="1"/>
  <c r="L1046" i="1"/>
  <c r="K1046" i="1"/>
  <c r="J1046" i="1"/>
  <c r="I1046" i="1"/>
  <c r="H1046" i="1"/>
  <c r="G1046" i="1" s="1"/>
  <c r="O1045" i="1"/>
  <c r="N1045" i="1"/>
  <c r="M1045" i="1"/>
  <c r="L1045" i="1"/>
  <c r="K1045" i="1"/>
  <c r="J1045" i="1"/>
  <c r="I1045" i="1"/>
  <c r="H1045" i="1"/>
  <c r="G1045" i="1" s="1"/>
  <c r="O1044" i="1"/>
  <c r="N1044" i="1"/>
  <c r="M1044" i="1"/>
  <c r="L1044" i="1"/>
  <c r="K1044" i="1"/>
  <c r="J1044" i="1"/>
  <c r="I1044" i="1"/>
  <c r="H1044" i="1"/>
  <c r="G1044" i="1" s="1"/>
  <c r="O1043" i="1"/>
  <c r="N1043" i="1"/>
  <c r="M1043" i="1"/>
  <c r="L1043" i="1"/>
  <c r="K1043" i="1"/>
  <c r="J1043" i="1"/>
  <c r="I1043" i="1"/>
  <c r="H1043" i="1"/>
  <c r="G1043" i="1" s="1"/>
  <c r="O1042" i="1"/>
  <c r="N1042" i="1"/>
  <c r="M1042" i="1"/>
  <c r="L1042" i="1"/>
  <c r="K1042" i="1"/>
  <c r="J1042" i="1"/>
  <c r="I1042" i="1"/>
  <c r="H1042" i="1"/>
  <c r="G1042" i="1" s="1"/>
  <c r="O1041" i="1"/>
  <c r="N1041" i="1"/>
  <c r="M1041" i="1"/>
  <c r="L1041" i="1"/>
  <c r="K1041" i="1"/>
  <c r="J1041" i="1"/>
  <c r="I1041" i="1"/>
  <c r="H1041" i="1"/>
  <c r="G1041" i="1" s="1"/>
  <c r="O1040" i="1"/>
  <c r="N1040" i="1"/>
  <c r="M1040" i="1"/>
  <c r="L1040" i="1"/>
  <c r="K1040" i="1"/>
  <c r="J1040" i="1"/>
  <c r="I1040" i="1"/>
  <c r="H1040" i="1"/>
  <c r="G1040" i="1" s="1"/>
  <c r="O1039" i="1"/>
  <c r="N1039" i="1"/>
  <c r="M1039" i="1"/>
  <c r="L1039" i="1"/>
  <c r="K1039" i="1"/>
  <c r="J1039" i="1"/>
  <c r="I1039" i="1"/>
  <c r="H1039" i="1"/>
  <c r="G1039" i="1" s="1"/>
  <c r="O1038" i="1"/>
  <c r="N1038" i="1"/>
  <c r="M1038" i="1"/>
  <c r="L1038" i="1"/>
  <c r="K1038" i="1"/>
  <c r="J1038" i="1"/>
  <c r="I1038" i="1"/>
  <c r="H1038" i="1"/>
  <c r="G1038" i="1" s="1"/>
  <c r="O1037" i="1"/>
  <c r="N1037" i="1"/>
  <c r="M1037" i="1"/>
  <c r="L1037" i="1"/>
  <c r="K1037" i="1"/>
  <c r="J1037" i="1"/>
  <c r="I1037" i="1"/>
  <c r="H1037" i="1"/>
  <c r="G1037" i="1" s="1"/>
  <c r="O1036" i="1"/>
  <c r="N1036" i="1"/>
  <c r="M1036" i="1"/>
  <c r="L1036" i="1"/>
  <c r="K1036" i="1"/>
  <c r="J1036" i="1"/>
  <c r="I1036" i="1"/>
  <c r="H1036" i="1"/>
  <c r="G1036" i="1" s="1"/>
  <c r="O1035" i="1"/>
  <c r="N1035" i="1"/>
  <c r="M1035" i="1"/>
  <c r="L1035" i="1"/>
  <c r="K1035" i="1"/>
  <c r="J1035" i="1"/>
  <c r="I1035" i="1"/>
  <c r="H1035" i="1"/>
  <c r="G1035" i="1" s="1"/>
  <c r="O1034" i="1"/>
  <c r="N1034" i="1"/>
  <c r="M1034" i="1"/>
  <c r="L1034" i="1"/>
  <c r="K1034" i="1"/>
  <c r="J1034" i="1"/>
  <c r="I1034" i="1"/>
  <c r="H1034" i="1"/>
  <c r="G1034" i="1" s="1"/>
  <c r="O1033" i="1"/>
  <c r="N1033" i="1"/>
  <c r="M1033" i="1"/>
  <c r="L1033" i="1"/>
  <c r="K1033" i="1"/>
  <c r="J1033" i="1"/>
  <c r="I1033" i="1"/>
  <c r="H1033" i="1"/>
  <c r="G1033" i="1" s="1"/>
  <c r="O1032" i="1"/>
  <c r="N1032" i="1"/>
  <c r="M1032" i="1"/>
  <c r="L1032" i="1"/>
  <c r="K1032" i="1"/>
  <c r="J1032" i="1"/>
  <c r="I1032" i="1"/>
  <c r="H1032" i="1"/>
  <c r="G1032" i="1" s="1"/>
  <c r="O1031" i="1"/>
  <c r="N1031" i="1"/>
  <c r="M1031" i="1"/>
  <c r="L1031" i="1"/>
  <c r="K1031" i="1"/>
  <c r="J1031" i="1"/>
  <c r="I1031" i="1"/>
  <c r="H1031" i="1"/>
  <c r="G1031" i="1" s="1"/>
  <c r="O1030" i="1"/>
  <c r="N1030" i="1"/>
  <c r="M1030" i="1"/>
  <c r="L1030" i="1"/>
  <c r="K1030" i="1"/>
  <c r="J1030" i="1"/>
  <c r="I1030" i="1"/>
  <c r="H1030" i="1"/>
  <c r="G1030" i="1" s="1"/>
  <c r="O1029" i="1"/>
  <c r="N1029" i="1"/>
  <c r="M1029" i="1"/>
  <c r="L1029" i="1"/>
  <c r="K1029" i="1"/>
  <c r="J1029" i="1"/>
  <c r="I1029" i="1"/>
  <c r="H1029" i="1"/>
  <c r="G1029" i="1" s="1"/>
  <c r="O1028" i="1"/>
  <c r="N1028" i="1"/>
  <c r="M1028" i="1"/>
  <c r="L1028" i="1"/>
  <c r="K1028" i="1"/>
  <c r="J1028" i="1"/>
  <c r="I1028" i="1"/>
  <c r="H1028" i="1"/>
  <c r="G1028" i="1" s="1"/>
  <c r="O1027" i="1"/>
  <c r="N1027" i="1"/>
  <c r="M1027" i="1"/>
  <c r="L1027" i="1"/>
  <c r="K1027" i="1"/>
  <c r="J1027" i="1"/>
  <c r="I1027" i="1"/>
  <c r="H1027" i="1"/>
  <c r="G1027" i="1" s="1"/>
  <c r="O1026" i="1"/>
  <c r="N1026" i="1"/>
  <c r="M1026" i="1"/>
  <c r="L1026" i="1"/>
  <c r="K1026" i="1"/>
  <c r="J1026" i="1"/>
  <c r="I1026" i="1"/>
  <c r="H1026" i="1"/>
  <c r="G1026" i="1" s="1"/>
  <c r="O1025" i="1"/>
  <c r="N1025" i="1"/>
  <c r="M1025" i="1"/>
  <c r="L1025" i="1"/>
  <c r="K1025" i="1"/>
  <c r="J1025" i="1"/>
  <c r="I1025" i="1"/>
  <c r="H1025" i="1"/>
  <c r="G1025" i="1" s="1"/>
  <c r="O1024" i="1"/>
  <c r="N1024" i="1"/>
  <c r="M1024" i="1"/>
  <c r="L1024" i="1"/>
  <c r="K1024" i="1"/>
  <c r="J1024" i="1"/>
  <c r="I1024" i="1"/>
  <c r="H1024" i="1"/>
  <c r="G1024" i="1" s="1"/>
  <c r="O1023" i="1"/>
  <c r="N1023" i="1"/>
  <c r="M1023" i="1"/>
  <c r="L1023" i="1"/>
  <c r="K1023" i="1"/>
  <c r="J1023" i="1"/>
  <c r="I1023" i="1"/>
  <c r="H1023" i="1"/>
  <c r="G1023" i="1" s="1"/>
  <c r="O1022" i="1"/>
  <c r="N1022" i="1"/>
  <c r="M1022" i="1"/>
  <c r="L1022" i="1"/>
  <c r="K1022" i="1"/>
  <c r="J1022" i="1"/>
  <c r="I1022" i="1"/>
  <c r="H1022" i="1"/>
  <c r="G1022" i="1" s="1"/>
  <c r="O1021" i="1"/>
  <c r="N1021" i="1"/>
  <c r="M1021" i="1"/>
  <c r="L1021" i="1"/>
  <c r="K1021" i="1"/>
  <c r="J1021" i="1"/>
  <c r="I1021" i="1"/>
  <c r="H1021" i="1"/>
  <c r="G1021" i="1" s="1"/>
  <c r="O1020" i="1"/>
  <c r="N1020" i="1"/>
  <c r="M1020" i="1"/>
  <c r="L1020" i="1"/>
  <c r="K1020" i="1"/>
  <c r="J1020" i="1"/>
  <c r="I1020" i="1"/>
  <c r="H1020" i="1"/>
  <c r="G1020" i="1" s="1"/>
  <c r="O1019" i="1"/>
  <c r="N1019" i="1"/>
  <c r="M1019" i="1"/>
  <c r="L1019" i="1"/>
  <c r="K1019" i="1"/>
  <c r="J1019" i="1"/>
  <c r="I1019" i="1"/>
  <c r="H1019" i="1"/>
  <c r="G1019" i="1" s="1"/>
  <c r="O1018" i="1"/>
  <c r="N1018" i="1"/>
  <c r="M1018" i="1"/>
  <c r="L1018" i="1"/>
  <c r="K1018" i="1"/>
  <c r="J1018" i="1"/>
  <c r="I1018" i="1"/>
  <c r="H1018" i="1"/>
  <c r="G1018" i="1" s="1"/>
  <c r="O1017" i="1"/>
  <c r="N1017" i="1"/>
  <c r="M1017" i="1"/>
  <c r="L1017" i="1"/>
  <c r="K1017" i="1"/>
  <c r="J1017" i="1"/>
  <c r="I1017" i="1"/>
  <c r="H1017" i="1"/>
  <c r="G1017" i="1" s="1"/>
  <c r="O1016" i="1"/>
  <c r="N1016" i="1"/>
  <c r="M1016" i="1"/>
  <c r="L1016" i="1"/>
  <c r="K1016" i="1"/>
  <c r="J1016" i="1"/>
  <c r="I1016" i="1"/>
  <c r="H1016" i="1"/>
  <c r="G1016" i="1" s="1"/>
  <c r="O1015" i="1"/>
  <c r="N1015" i="1"/>
  <c r="M1015" i="1"/>
  <c r="L1015" i="1"/>
  <c r="K1015" i="1"/>
  <c r="J1015" i="1"/>
  <c r="I1015" i="1"/>
  <c r="H1015" i="1"/>
  <c r="G1015" i="1" s="1"/>
  <c r="O1014" i="1"/>
  <c r="N1014" i="1"/>
  <c r="M1014" i="1"/>
  <c r="L1014" i="1"/>
  <c r="K1014" i="1"/>
  <c r="J1014" i="1"/>
  <c r="I1014" i="1"/>
  <c r="H1014" i="1"/>
  <c r="G1014" i="1" s="1"/>
  <c r="O1013" i="1"/>
  <c r="N1013" i="1"/>
  <c r="M1013" i="1"/>
  <c r="L1013" i="1"/>
  <c r="K1013" i="1"/>
  <c r="J1013" i="1"/>
  <c r="I1013" i="1"/>
  <c r="H1013" i="1"/>
  <c r="G1013" i="1" s="1"/>
  <c r="O1012" i="1"/>
  <c r="N1012" i="1"/>
  <c r="M1012" i="1"/>
  <c r="L1012" i="1"/>
  <c r="K1012" i="1"/>
  <c r="J1012" i="1"/>
  <c r="I1012" i="1"/>
  <c r="H1012" i="1"/>
  <c r="G1012" i="1" s="1"/>
  <c r="O1011" i="1"/>
  <c r="N1011" i="1"/>
  <c r="M1011" i="1"/>
  <c r="L1011" i="1"/>
  <c r="K1011" i="1"/>
  <c r="J1011" i="1"/>
  <c r="I1011" i="1"/>
  <c r="H1011" i="1"/>
  <c r="G1011" i="1" s="1"/>
  <c r="O1010" i="1"/>
  <c r="N1010" i="1"/>
  <c r="M1010" i="1"/>
  <c r="L1010" i="1"/>
  <c r="K1010" i="1"/>
  <c r="J1010" i="1"/>
  <c r="I1010" i="1"/>
  <c r="H1010" i="1"/>
  <c r="G1010" i="1" s="1"/>
  <c r="O1009" i="1"/>
  <c r="N1009" i="1"/>
  <c r="M1009" i="1"/>
  <c r="L1009" i="1"/>
  <c r="K1009" i="1"/>
  <c r="J1009" i="1"/>
  <c r="I1009" i="1"/>
  <c r="H1009" i="1"/>
  <c r="G1009" i="1" s="1"/>
  <c r="O1008" i="1"/>
  <c r="N1008" i="1"/>
  <c r="M1008" i="1"/>
  <c r="L1008" i="1"/>
  <c r="K1008" i="1"/>
  <c r="J1008" i="1"/>
  <c r="I1008" i="1"/>
  <c r="H1008" i="1"/>
  <c r="G1008" i="1" s="1"/>
  <c r="O1007" i="1"/>
  <c r="N1007" i="1"/>
  <c r="M1007" i="1"/>
  <c r="L1007" i="1"/>
  <c r="K1007" i="1"/>
  <c r="J1007" i="1"/>
  <c r="I1007" i="1"/>
  <c r="H1007" i="1"/>
  <c r="G1007" i="1" s="1"/>
  <c r="O1006" i="1"/>
  <c r="N1006" i="1"/>
  <c r="M1006" i="1"/>
  <c r="L1006" i="1"/>
  <c r="K1006" i="1"/>
  <c r="J1006" i="1"/>
  <c r="I1006" i="1"/>
  <c r="H1006" i="1"/>
  <c r="G1006" i="1" s="1"/>
  <c r="O1005" i="1"/>
  <c r="N1005" i="1"/>
  <c r="M1005" i="1"/>
  <c r="L1005" i="1"/>
  <c r="K1005" i="1"/>
  <c r="J1005" i="1"/>
  <c r="I1005" i="1"/>
  <c r="H1005" i="1"/>
  <c r="G1005" i="1" s="1"/>
  <c r="O1004" i="1"/>
  <c r="N1004" i="1"/>
  <c r="M1004" i="1"/>
  <c r="L1004" i="1"/>
  <c r="K1004" i="1"/>
  <c r="J1004" i="1"/>
  <c r="I1004" i="1"/>
  <c r="H1004" i="1"/>
  <c r="G1004" i="1" s="1"/>
  <c r="O1003" i="1"/>
  <c r="N1003" i="1"/>
  <c r="M1003" i="1"/>
  <c r="L1003" i="1"/>
  <c r="K1003" i="1"/>
  <c r="J1003" i="1"/>
  <c r="I1003" i="1"/>
  <c r="H1003" i="1"/>
  <c r="G1003" i="1" s="1"/>
  <c r="O1002" i="1"/>
  <c r="N1002" i="1"/>
  <c r="M1002" i="1"/>
  <c r="L1002" i="1"/>
  <c r="K1002" i="1"/>
  <c r="J1002" i="1"/>
  <c r="I1002" i="1"/>
  <c r="H1002" i="1"/>
  <c r="G1002" i="1" s="1"/>
  <c r="O1001" i="1"/>
  <c r="N1001" i="1"/>
  <c r="M1001" i="1"/>
  <c r="L1001" i="1"/>
  <c r="K1001" i="1"/>
  <c r="J1001" i="1"/>
  <c r="I1001" i="1"/>
  <c r="H1001" i="1"/>
  <c r="G1001" i="1" s="1"/>
  <c r="O1000" i="1"/>
  <c r="N1000" i="1"/>
  <c r="M1000" i="1"/>
  <c r="L1000" i="1"/>
  <c r="K1000" i="1"/>
  <c r="J1000" i="1"/>
  <c r="I1000" i="1"/>
  <c r="H1000" i="1"/>
  <c r="G1000" i="1" s="1"/>
  <c r="O999" i="1"/>
  <c r="N999" i="1"/>
  <c r="M999" i="1"/>
  <c r="L999" i="1"/>
  <c r="K999" i="1"/>
  <c r="J999" i="1"/>
  <c r="I999" i="1"/>
  <c r="H999" i="1"/>
  <c r="G999" i="1" s="1"/>
  <c r="O998" i="1"/>
  <c r="N998" i="1"/>
  <c r="M998" i="1"/>
  <c r="L998" i="1"/>
  <c r="K998" i="1"/>
  <c r="J998" i="1"/>
  <c r="I998" i="1"/>
  <c r="H998" i="1"/>
  <c r="G998" i="1" s="1"/>
  <c r="O997" i="1"/>
  <c r="N997" i="1"/>
  <c r="M997" i="1"/>
  <c r="L997" i="1"/>
  <c r="K997" i="1"/>
  <c r="J997" i="1"/>
  <c r="I997" i="1"/>
  <c r="H997" i="1"/>
  <c r="G997" i="1" s="1"/>
  <c r="O996" i="1"/>
  <c r="N996" i="1"/>
  <c r="M996" i="1"/>
  <c r="L996" i="1"/>
  <c r="K996" i="1"/>
  <c r="J996" i="1"/>
  <c r="I996" i="1"/>
  <c r="H996" i="1"/>
  <c r="G996" i="1" s="1"/>
  <c r="O995" i="1"/>
  <c r="N995" i="1"/>
  <c r="M995" i="1"/>
  <c r="L995" i="1"/>
  <c r="K995" i="1"/>
  <c r="J995" i="1"/>
  <c r="I995" i="1"/>
  <c r="H995" i="1"/>
  <c r="G995" i="1" s="1"/>
  <c r="O994" i="1"/>
  <c r="N994" i="1"/>
  <c r="M994" i="1"/>
  <c r="L994" i="1"/>
  <c r="K994" i="1"/>
  <c r="J994" i="1"/>
  <c r="I994" i="1"/>
  <c r="H994" i="1"/>
  <c r="G994" i="1" s="1"/>
  <c r="O993" i="1"/>
  <c r="N993" i="1"/>
  <c r="M993" i="1"/>
  <c r="L993" i="1"/>
  <c r="K993" i="1"/>
  <c r="J993" i="1"/>
  <c r="I993" i="1"/>
  <c r="H993" i="1"/>
  <c r="G993" i="1" s="1"/>
  <c r="O992" i="1"/>
  <c r="N992" i="1"/>
  <c r="M992" i="1"/>
  <c r="L992" i="1"/>
  <c r="K992" i="1"/>
  <c r="J992" i="1"/>
  <c r="I992" i="1"/>
  <c r="H992" i="1"/>
  <c r="G992" i="1" s="1"/>
  <c r="O991" i="1"/>
  <c r="N991" i="1"/>
  <c r="M991" i="1"/>
  <c r="L991" i="1"/>
  <c r="K991" i="1"/>
  <c r="J991" i="1"/>
  <c r="I991" i="1"/>
  <c r="H991" i="1"/>
  <c r="G991" i="1" s="1"/>
  <c r="O990" i="1"/>
  <c r="N990" i="1"/>
  <c r="M990" i="1"/>
  <c r="L990" i="1"/>
  <c r="K990" i="1"/>
  <c r="J990" i="1"/>
  <c r="I990" i="1"/>
  <c r="H990" i="1"/>
  <c r="G990" i="1" s="1"/>
  <c r="O989" i="1"/>
  <c r="N989" i="1"/>
  <c r="M989" i="1"/>
  <c r="L989" i="1"/>
  <c r="K989" i="1"/>
  <c r="J989" i="1"/>
  <c r="I989" i="1"/>
  <c r="H989" i="1"/>
  <c r="G989" i="1" s="1"/>
  <c r="O988" i="1"/>
  <c r="N988" i="1"/>
  <c r="M988" i="1"/>
  <c r="L988" i="1"/>
  <c r="K988" i="1"/>
  <c r="J988" i="1"/>
  <c r="I988" i="1"/>
  <c r="H988" i="1"/>
  <c r="G988" i="1" s="1"/>
  <c r="O987" i="1"/>
  <c r="N987" i="1"/>
  <c r="M987" i="1"/>
  <c r="L987" i="1"/>
  <c r="K987" i="1"/>
  <c r="J987" i="1"/>
  <c r="I987" i="1"/>
  <c r="H987" i="1"/>
  <c r="G987" i="1" s="1"/>
  <c r="O986" i="1"/>
  <c r="N986" i="1"/>
  <c r="M986" i="1"/>
  <c r="L986" i="1"/>
  <c r="K986" i="1"/>
  <c r="J986" i="1"/>
  <c r="I986" i="1"/>
  <c r="H986" i="1"/>
  <c r="G986" i="1" s="1"/>
  <c r="O985" i="1"/>
  <c r="N985" i="1"/>
  <c r="M985" i="1"/>
  <c r="L985" i="1"/>
  <c r="K985" i="1"/>
  <c r="J985" i="1"/>
  <c r="I985" i="1"/>
  <c r="H985" i="1"/>
  <c r="G985" i="1" s="1"/>
  <c r="O984" i="1"/>
  <c r="N984" i="1"/>
  <c r="M984" i="1"/>
  <c r="L984" i="1"/>
  <c r="K984" i="1"/>
  <c r="J984" i="1"/>
  <c r="I984" i="1"/>
  <c r="H984" i="1"/>
  <c r="G984" i="1" s="1"/>
  <c r="O983" i="1"/>
  <c r="N983" i="1"/>
  <c r="M983" i="1"/>
  <c r="L983" i="1"/>
  <c r="K983" i="1"/>
  <c r="J983" i="1"/>
  <c r="I983" i="1"/>
  <c r="H983" i="1"/>
  <c r="G983" i="1" s="1"/>
  <c r="O982" i="1"/>
  <c r="N982" i="1"/>
  <c r="M982" i="1"/>
  <c r="L982" i="1"/>
  <c r="K982" i="1"/>
  <c r="J982" i="1"/>
  <c r="I982" i="1"/>
  <c r="H982" i="1"/>
  <c r="G982" i="1" s="1"/>
  <c r="O981" i="1"/>
  <c r="N981" i="1"/>
  <c r="M981" i="1"/>
  <c r="L981" i="1"/>
  <c r="K981" i="1"/>
  <c r="J981" i="1"/>
  <c r="I981" i="1"/>
  <c r="H981" i="1"/>
  <c r="G981" i="1" s="1"/>
  <c r="O980" i="1"/>
  <c r="N980" i="1"/>
  <c r="M980" i="1"/>
  <c r="L980" i="1"/>
  <c r="K980" i="1"/>
  <c r="J980" i="1"/>
  <c r="I980" i="1"/>
  <c r="H980" i="1"/>
  <c r="G980" i="1" s="1"/>
  <c r="O979" i="1"/>
  <c r="N979" i="1"/>
  <c r="M979" i="1"/>
  <c r="L979" i="1"/>
  <c r="K979" i="1"/>
  <c r="J979" i="1"/>
  <c r="I979" i="1"/>
  <c r="H979" i="1"/>
  <c r="G979" i="1" s="1"/>
  <c r="O978" i="1"/>
  <c r="N978" i="1"/>
  <c r="M978" i="1"/>
  <c r="L978" i="1"/>
  <c r="K978" i="1"/>
  <c r="J978" i="1"/>
  <c r="I978" i="1"/>
  <c r="H978" i="1"/>
  <c r="G978" i="1" s="1"/>
  <c r="O977" i="1"/>
  <c r="N977" i="1"/>
  <c r="M977" i="1"/>
  <c r="L977" i="1"/>
  <c r="K977" i="1"/>
  <c r="J977" i="1"/>
  <c r="I977" i="1"/>
  <c r="H977" i="1"/>
  <c r="G977" i="1" s="1"/>
  <c r="O976" i="1"/>
  <c r="N976" i="1"/>
  <c r="M976" i="1"/>
  <c r="L976" i="1"/>
  <c r="K976" i="1"/>
  <c r="J976" i="1"/>
  <c r="I976" i="1"/>
  <c r="H976" i="1"/>
  <c r="G976" i="1" s="1"/>
  <c r="O975" i="1"/>
  <c r="N975" i="1"/>
  <c r="M975" i="1"/>
  <c r="L975" i="1"/>
  <c r="K975" i="1"/>
  <c r="J975" i="1"/>
  <c r="I975" i="1"/>
  <c r="H975" i="1"/>
  <c r="G975" i="1" s="1"/>
  <c r="O974" i="1"/>
  <c r="N974" i="1"/>
  <c r="M974" i="1"/>
  <c r="L974" i="1"/>
  <c r="K974" i="1"/>
  <c r="J974" i="1"/>
  <c r="I974" i="1"/>
  <c r="H974" i="1"/>
  <c r="G974" i="1" s="1"/>
  <c r="O973" i="1"/>
  <c r="N973" i="1"/>
  <c r="M973" i="1"/>
  <c r="L973" i="1"/>
  <c r="K973" i="1"/>
  <c r="J973" i="1"/>
  <c r="I973" i="1"/>
  <c r="H973" i="1"/>
  <c r="G973" i="1" s="1"/>
  <c r="O972" i="1"/>
  <c r="N972" i="1"/>
  <c r="M972" i="1"/>
  <c r="L972" i="1"/>
  <c r="K972" i="1"/>
  <c r="J972" i="1"/>
  <c r="I972" i="1"/>
  <c r="H972" i="1"/>
  <c r="G972" i="1" s="1"/>
  <c r="O971" i="1"/>
  <c r="N971" i="1"/>
  <c r="M971" i="1"/>
  <c r="L971" i="1"/>
  <c r="K971" i="1"/>
  <c r="J971" i="1"/>
  <c r="I971" i="1"/>
  <c r="H971" i="1"/>
  <c r="G971" i="1" s="1"/>
  <c r="O970" i="1"/>
  <c r="N970" i="1"/>
  <c r="M970" i="1"/>
  <c r="L970" i="1"/>
  <c r="K970" i="1"/>
  <c r="J970" i="1"/>
  <c r="I970" i="1"/>
  <c r="H970" i="1"/>
  <c r="G970" i="1" s="1"/>
  <c r="O969" i="1"/>
  <c r="N969" i="1"/>
  <c r="M969" i="1"/>
  <c r="L969" i="1"/>
  <c r="K969" i="1"/>
  <c r="J969" i="1"/>
  <c r="I969" i="1"/>
  <c r="H969" i="1"/>
  <c r="G969" i="1" s="1"/>
  <c r="O968" i="1"/>
  <c r="N968" i="1"/>
  <c r="M968" i="1"/>
  <c r="L968" i="1"/>
  <c r="K968" i="1"/>
  <c r="J968" i="1"/>
  <c r="I968" i="1"/>
  <c r="H968" i="1"/>
  <c r="G968" i="1" s="1"/>
  <c r="O967" i="1"/>
  <c r="N967" i="1"/>
  <c r="M967" i="1"/>
  <c r="L967" i="1"/>
  <c r="K967" i="1"/>
  <c r="J967" i="1"/>
  <c r="I967" i="1"/>
  <c r="H967" i="1"/>
  <c r="G967" i="1" s="1"/>
  <c r="O966" i="1"/>
  <c r="N966" i="1"/>
  <c r="M966" i="1"/>
  <c r="L966" i="1"/>
  <c r="K966" i="1"/>
  <c r="J966" i="1"/>
  <c r="I966" i="1"/>
  <c r="H966" i="1"/>
  <c r="G966" i="1" s="1"/>
  <c r="O965" i="1"/>
  <c r="N965" i="1"/>
  <c r="M965" i="1"/>
  <c r="L965" i="1"/>
  <c r="K965" i="1"/>
  <c r="J965" i="1"/>
  <c r="I965" i="1"/>
  <c r="H965" i="1"/>
  <c r="G965" i="1" s="1"/>
  <c r="O964" i="1"/>
  <c r="N964" i="1"/>
  <c r="M964" i="1"/>
  <c r="L964" i="1"/>
  <c r="K964" i="1"/>
  <c r="J964" i="1"/>
  <c r="I964" i="1"/>
  <c r="H964" i="1"/>
  <c r="G964" i="1" s="1"/>
  <c r="O963" i="1"/>
  <c r="N963" i="1"/>
  <c r="M963" i="1"/>
  <c r="L963" i="1"/>
  <c r="K963" i="1"/>
  <c r="J963" i="1"/>
  <c r="I963" i="1"/>
  <c r="H963" i="1"/>
  <c r="G963" i="1" s="1"/>
  <c r="O962" i="1"/>
  <c r="N962" i="1"/>
  <c r="M962" i="1"/>
  <c r="L962" i="1"/>
  <c r="K962" i="1"/>
  <c r="J962" i="1"/>
  <c r="I962" i="1"/>
  <c r="H962" i="1"/>
  <c r="G962" i="1" s="1"/>
  <c r="O961" i="1"/>
  <c r="N961" i="1"/>
  <c r="M961" i="1"/>
  <c r="L961" i="1"/>
  <c r="K961" i="1"/>
  <c r="J961" i="1"/>
  <c r="I961" i="1"/>
  <c r="H961" i="1"/>
  <c r="G961" i="1" s="1"/>
  <c r="O960" i="1"/>
  <c r="N960" i="1"/>
  <c r="M960" i="1"/>
  <c r="K960" i="1"/>
  <c r="J960" i="1"/>
  <c r="I960" i="1"/>
  <c r="H960" i="1"/>
  <c r="G960" i="1" s="1"/>
  <c r="O959" i="1"/>
  <c r="N959" i="1"/>
  <c r="M959" i="1"/>
  <c r="L959" i="1"/>
  <c r="K959" i="1"/>
  <c r="J959" i="1"/>
  <c r="I959" i="1"/>
  <c r="H959" i="1"/>
  <c r="G959" i="1" s="1"/>
  <c r="O958" i="1"/>
  <c r="N958" i="1"/>
  <c r="M958" i="1"/>
  <c r="L958" i="1"/>
  <c r="K958" i="1"/>
  <c r="J958" i="1"/>
  <c r="I958" i="1"/>
  <c r="H958" i="1"/>
  <c r="G958" i="1" s="1"/>
  <c r="O957" i="1"/>
  <c r="N957" i="1"/>
  <c r="M957" i="1"/>
  <c r="L957" i="1"/>
  <c r="K957" i="1"/>
  <c r="J957" i="1"/>
  <c r="I957" i="1"/>
  <c r="H957" i="1"/>
  <c r="G957" i="1" s="1"/>
  <c r="O956" i="1"/>
  <c r="N956" i="1"/>
  <c r="M956" i="1"/>
  <c r="L956" i="1"/>
  <c r="K956" i="1"/>
  <c r="J956" i="1"/>
  <c r="I956" i="1"/>
  <c r="H956" i="1"/>
  <c r="G956" i="1" s="1"/>
  <c r="O955" i="1"/>
  <c r="N955" i="1"/>
  <c r="M955" i="1"/>
  <c r="L955" i="1"/>
  <c r="K955" i="1"/>
  <c r="J955" i="1"/>
  <c r="I955" i="1"/>
  <c r="H955" i="1"/>
  <c r="G955" i="1" s="1"/>
  <c r="O954" i="1"/>
  <c r="N954" i="1"/>
  <c r="M954" i="1"/>
  <c r="L954" i="1"/>
  <c r="K954" i="1"/>
  <c r="J954" i="1"/>
  <c r="I954" i="1"/>
  <c r="H954" i="1"/>
  <c r="G954" i="1" s="1"/>
  <c r="O953" i="1"/>
  <c r="N953" i="1"/>
  <c r="M953" i="1"/>
  <c r="L953" i="1"/>
  <c r="K953" i="1"/>
  <c r="J953" i="1"/>
  <c r="I953" i="1"/>
  <c r="H953" i="1"/>
  <c r="G953" i="1" s="1"/>
  <c r="O952" i="1"/>
  <c r="N952" i="1"/>
  <c r="M952" i="1"/>
  <c r="L952" i="1"/>
  <c r="K952" i="1"/>
  <c r="J952" i="1"/>
  <c r="I952" i="1"/>
  <c r="H952" i="1"/>
  <c r="G952" i="1" s="1"/>
  <c r="O951" i="1"/>
  <c r="N951" i="1"/>
  <c r="M951" i="1"/>
  <c r="L951" i="1"/>
  <c r="K951" i="1"/>
  <c r="J951" i="1"/>
  <c r="I951" i="1"/>
  <c r="H951" i="1"/>
  <c r="G951" i="1" s="1"/>
  <c r="O950" i="1"/>
  <c r="N950" i="1"/>
  <c r="M950" i="1"/>
  <c r="L950" i="1"/>
  <c r="K950" i="1"/>
  <c r="J950" i="1"/>
  <c r="I950" i="1"/>
  <c r="H950" i="1"/>
  <c r="G950" i="1" s="1"/>
  <c r="O949" i="1"/>
  <c r="N949" i="1"/>
  <c r="M949" i="1"/>
  <c r="L949" i="1"/>
  <c r="K949" i="1"/>
  <c r="J949" i="1"/>
  <c r="I949" i="1"/>
  <c r="H949" i="1"/>
  <c r="G949" i="1" s="1"/>
  <c r="O948" i="1"/>
  <c r="N948" i="1"/>
  <c r="M948" i="1"/>
  <c r="L948" i="1"/>
  <c r="K948" i="1"/>
  <c r="J948" i="1"/>
  <c r="I948" i="1"/>
  <c r="H948" i="1"/>
  <c r="G948" i="1" s="1"/>
  <c r="O947" i="1"/>
  <c r="N947" i="1"/>
  <c r="M947" i="1"/>
  <c r="L947" i="1"/>
  <c r="K947" i="1"/>
  <c r="J947" i="1"/>
  <c r="I947" i="1"/>
  <c r="H947" i="1"/>
  <c r="G947" i="1" s="1"/>
  <c r="O946" i="1"/>
  <c r="N946" i="1"/>
  <c r="M946" i="1"/>
  <c r="L946" i="1"/>
  <c r="K946" i="1"/>
  <c r="J946" i="1"/>
  <c r="I946" i="1"/>
  <c r="H946" i="1"/>
  <c r="G946" i="1" s="1"/>
  <c r="O945" i="1"/>
  <c r="N945" i="1"/>
  <c r="M945" i="1"/>
  <c r="L945" i="1"/>
  <c r="K945" i="1"/>
  <c r="J945" i="1"/>
  <c r="I945" i="1"/>
  <c r="H945" i="1"/>
  <c r="G945" i="1" s="1"/>
  <c r="O944" i="1"/>
  <c r="N944" i="1"/>
  <c r="M944" i="1"/>
  <c r="L944" i="1"/>
  <c r="K944" i="1"/>
  <c r="J944" i="1"/>
  <c r="I944" i="1"/>
  <c r="H944" i="1"/>
  <c r="G944" i="1" s="1"/>
  <c r="O943" i="1"/>
  <c r="N943" i="1"/>
  <c r="M943" i="1"/>
  <c r="L943" i="1"/>
  <c r="K943" i="1"/>
  <c r="J943" i="1"/>
  <c r="I943" i="1"/>
  <c r="H943" i="1"/>
  <c r="G943" i="1" s="1"/>
  <c r="O942" i="1"/>
  <c r="N942" i="1"/>
  <c r="M942" i="1"/>
  <c r="L942" i="1"/>
  <c r="K942" i="1"/>
  <c r="J942" i="1"/>
  <c r="I942" i="1"/>
  <c r="H942" i="1"/>
  <c r="G942" i="1" s="1"/>
  <c r="O941" i="1"/>
  <c r="N941" i="1"/>
  <c r="M941" i="1"/>
  <c r="L941" i="1"/>
  <c r="K941" i="1"/>
  <c r="J941" i="1"/>
  <c r="I941" i="1"/>
  <c r="H941" i="1"/>
  <c r="G941" i="1" s="1"/>
  <c r="O940" i="1"/>
  <c r="N940" i="1"/>
  <c r="M940" i="1"/>
  <c r="L940" i="1"/>
  <c r="K940" i="1"/>
  <c r="J940" i="1"/>
  <c r="I940" i="1"/>
  <c r="H940" i="1"/>
  <c r="G940" i="1" s="1"/>
  <c r="O939" i="1"/>
  <c r="N939" i="1"/>
  <c r="M939" i="1"/>
  <c r="L939" i="1"/>
  <c r="K939" i="1"/>
  <c r="J939" i="1"/>
  <c r="I939" i="1"/>
  <c r="H939" i="1"/>
  <c r="G939" i="1" s="1"/>
  <c r="O938" i="1"/>
  <c r="N938" i="1"/>
  <c r="M938" i="1"/>
  <c r="L938" i="1"/>
  <c r="K938" i="1"/>
  <c r="J938" i="1"/>
  <c r="I938" i="1"/>
  <c r="H938" i="1"/>
  <c r="G938" i="1" s="1"/>
  <c r="O937" i="1"/>
  <c r="N937" i="1"/>
  <c r="M937" i="1"/>
  <c r="L937" i="1"/>
  <c r="K937" i="1"/>
  <c r="J937" i="1"/>
  <c r="I937" i="1"/>
  <c r="H937" i="1"/>
  <c r="G937" i="1" s="1"/>
  <c r="O936" i="1"/>
  <c r="N936" i="1"/>
  <c r="M936" i="1"/>
  <c r="L936" i="1"/>
  <c r="K936" i="1"/>
  <c r="J936" i="1"/>
  <c r="I936" i="1"/>
  <c r="H936" i="1"/>
  <c r="G936" i="1" s="1"/>
  <c r="O935" i="1"/>
  <c r="N935" i="1"/>
  <c r="M935" i="1"/>
  <c r="L935" i="1"/>
  <c r="K935" i="1"/>
  <c r="J935" i="1"/>
  <c r="I935" i="1"/>
  <c r="H935" i="1"/>
  <c r="G935" i="1" s="1"/>
  <c r="O934" i="1"/>
  <c r="N934" i="1"/>
  <c r="M934" i="1"/>
  <c r="L934" i="1"/>
  <c r="K934" i="1"/>
  <c r="J934" i="1"/>
  <c r="I934" i="1"/>
  <c r="H934" i="1"/>
  <c r="G934" i="1" s="1"/>
  <c r="O933" i="1"/>
  <c r="N933" i="1"/>
  <c r="M933" i="1"/>
  <c r="L933" i="1"/>
  <c r="K933" i="1"/>
  <c r="J933" i="1"/>
  <c r="I933" i="1"/>
  <c r="H933" i="1"/>
  <c r="G933" i="1" s="1"/>
  <c r="O932" i="1"/>
  <c r="N932" i="1"/>
  <c r="M932" i="1"/>
  <c r="L932" i="1"/>
  <c r="K932" i="1"/>
  <c r="J932" i="1"/>
  <c r="I932" i="1"/>
  <c r="H932" i="1"/>
  <c r="G932" i="1" s="1"/>
  <c r="O931" i="1"/>
  <c r="N931" i="1"/>
  <c r="M931" i="1"/>
  <c r="L931" i="1"/>
  <c r="K931" i="1"/>
  <c r="J931" i="1"/>
  <c r="I931" i="1"/>
  <c r="H931" i="1"/>
  <c r="G931" i="1" s="1"/>
  <c r="O930" i="1"/>
  <c r="N930" i="1"/>
  <c r="M930" i="1"/>
  <c r="L930" i="1"/>
  <c r="K930" i="1"/>
  <c r="J930" i="1"/>
  <c r="I930" i="1"/>
  <c r="H930" i="1"/>
  <c r="G930" i="1" s="1"/>
  <c r="O929" i="1"/>
  <c r="N929" i="1"/>
  <c r="M929" i="1"/>
  <c r="L929" i="1"/>
  <c r="K929" i="1"/>
  <c r="J929" i="1"/>
  <c r="I929" i="1"/>
  <c r="H929" i="1"/>
  <c r="G929" i="1" s="1"/>
  <c r="O928" i="1"/>
  <c r="N928" i="1"/>
  <c r="M928" i="1"/>
  <c r="L928" i="1"/>
  <c r="K928" i="1"/>
  <c r="J928" i="1"/>
  <c r="I928" i="1"/>
  <c r="H928" i="1"/>
  <c r="G928" i="1" s="1"/>
  <c r="O927" i="1"/>
  <c r="N927" i="1"/>
  <c r="M927" i="1"/>
  <c r="L927" i="1"/>
  <c r="K927" i="1"/>
  <c r="J927" i="1"/>
  <c r="I927" i="1"/>
  <c r="H927" i="1"/>
  <c r="G927" i="1" s="1"/>
  <c r="O926" i="1"/>
  <c r="N926" i="1"/>
  <c r="M926" i="1"/>
  <c r="L926" i="1"/>
  <c r="K926" i="1"/>
  <c r="J926" i="1"/>
  <c r="I926" i="1"/>
  <c r="H926" i="1"/>
  <c r="G926" i="1" s="1"/>
  <c r="O925" i="1"/>
  <c r="N925" i="1"/>
  <c r="M925" i="1"/>
  <c r="L925" i="1"/>
  <c r="K925" i="1"/>
  <c r="J925" i="1"/>
  <c r="I925" i="1"/>
  <c r="H925" i="1"/>
  <c r="G925" i="1" s="1"/>
  <c r="O924" i="1"/>
  <c r="N924" i="1"/>
  <c r="M924" i="1"/>
  <c r="L924" i="1"/>
  <c r="K924" i="1"/>
  <c r="J924" i="1"/>
  <c r="I924" i="1"/>
  <c r="H924" i="1"/>
  <c r="G924" i="1" s="1"/>
  <c r="O923" i="1"/>
  <c r="N923" i="1"/>
  <c r="M923" i="1"/>
  <c r="L923" i="1"/>
  <c r="K923" i="1"/>
  <c r="J923" i="1"/>
  <c r="I923" i="1"/>
  <c r="H923" i="1"/>
  <c r="G923" i="1" s="1"/>
  <c r="O922" i="1"/>
  <c r="N922" i="1"/>
  <c r="M922" i="1"/>
  <c r="L922" i="1"/>
  <c r="K922" i="1"/>
  <c r="J922" i="1"/>
  <c r="I922" i="1"/>
  <c r="H922" i="1"/>
  <c r="G922" i="1" s="1"/>
  <c r="O921" i="1"/>
  <c r="N921" i="1"/>
  <c r="M921" i="1"/>
  <c r="L921" i="1"/>
  <c r="K921" i="1"/>
  <c r="J921" i="1"/>
  <c r="I921" i="1"/>
  <c r="H921" i="1"/>
  <c r="G921" i="1" s="1"/>
  <c r="O920" i="1"/>
  <c r="N920" i="1"/>
  <c r="M920" i="1"/>
  <c r="L920" i="1"/>
  <c r="K920" i="1"/>
  <c r="J920" i="1"/>
  <c r="I920" i="1"/>
  <c r="H920" i="1"/>
  <c r="G920" i="1" s="1"/>
  <c r="O919" i="1"/>
  <c r="N919" i="1"/>
  <c r="M919" i="1"/>
  <c r="L919" i="1"/>
  <c r="K919" i="1"/>
  <c r="J919" i="1"/>
  <c r="I919" i="1"/>
  <c r="H919" i="1"/>
  <c r="G919" i="1" s="1"/>
  <c r="O918" i="1"/>
  <c r="N918" i="1"/>
  <c r="M918" i="1"/>
  <c r="L918" i="1"/>
  <c r="K918" i="1"/>
  <c r="J918" i="1"/>
  <c r="I918" i="1"/>
  <c r="H918" i="1"/>
  <c r="G918" i="1" s="1"/>
  <c r="O917" i="1"/>
  <c r="N917" i="1"/>
  <c r="M917" i="1"/>
  <c r="L917" i="1"/>
  <c r="K917" i="1"/>
  <c r="J917" i="1"/>
  <c r="I917" i="1"/>
  <c r="H917" i="1"/>
  <c r="G917" i="1" s="1"/>
  <c r="O916" i="1"/>
  <c r="N916" i="1"/>
  <c r="M916" i="1"/>
  <c r="L916" i="1"/>
  <c r="K916" i="1"/>
  <c r="J916" i="1"/>
  <c r="I916" i="1"/>
  <c r="H916" i="1"/>
  <c r="G916" i="1" s="1"/>
  <c r="O915" i="1"/>
  <c r="N915" i="1"/>
  <c r="M915" i="1"/>
  <c r="L915" i="1"/>
  <c r="K915" i="1"/>
  <c r="J915" i="1"/>
  <c r="I915" i="1"/>
  <c r="H915" i="1"/>
  <c r="G915" i="1" s="1"/>
  <c r="O914" i="1"/>
  <c r="N914" i="1"/>
  <c r="M914" i="1"/>
  <c r="L914" i="1"/>
  <c r="K914" i="1"/>
  <c r="J914" i="1"/>
  <c r="I914" i="1"/>
  <c r="H914" i="1"/>
  <c r="G914" i="1" s="1"/>
  <c r="O913" i="1"/>
  <c r="N913" i="1"/>
  <c r="M913" i="1"/>
  <c r="L913" i="1"/>
  <c r="K913" i="1"/>
  <c r="J913" i="1"/>
  <c r="I913" i="1"/>
  <c r="H913" i="1"/>
  <c r="G913" i="1" s="1"/>
  <c r="O912" i="1"/>
  <c r="N912" i="1"/>
  <c r="M912" i="1"/>
  <c r="L912" i="1"/>
  <c r="K912" i="1"/>
  <c r="J912" i="1"/>
  <c r="I912" i="1"/>
  <c r="H912" i="1"/>
  <c r="G912" i="1" s="1"/>
  <c r="O911" i="1"/>
  <c r="N911" i="1"/>
  <c r="M911" i="1"/>
  <c r="L911" i="1"/>
  <c r="K911" i="1"/>
  <c r="J911" i="1"/>
  <c r="I911" i="1"/>
  <c r="H911" i="1"/>
  <c r="G911" i="1" s="1"/>
  <c r="O910" i="1"/>
  <c r="N910" i="1"/>
  <c r="M910" i="1"/>
  <c r="L910" i="1"/>
  <c r="K910" i="1"/>
  <c r="J910" i="1"/>
  <c r="I910" i="1"/>
  <c r="H910" i="1"/>
  <c r="G910" i="1" s="1"/>
  <c r="O909" i="1"/>
  <c r="N909" i="1"/>
  <c r="M909" i="1"/>
  <c r="L909" i="1"/>
  <c r="K909" i="1"/>
  <c r="J909" i="1"/>
  <c r="I909" i="1"/>
  <c r="H909" i="1"/>
  <c r="G909" i="1" s="1"/>
  <c r="O908" i="1"/>
  <c r="N908" i="1"/>
  <c r="M908" i="1"/>
  <c r="L908" i="1"/>
  <c r="K908" i="1"/>
  <c r="J908" i="1"/>
  <c r="I908" i="1"/>
  <c r="H908" i="1"/>
  <c r="G908" i="1" s="1"/>
  <c r="O907" i="1"/>
  <c r="N907" i="1"/>
  <c r="M907" i="1"/>
  <c r="L907" i="1"/>
  <c r="K907" i="1"/>
  <c r="J907" i="1"/>
  <c r="I907" i="1"/>
  <c r="H907" i="1"/>
  <c r="G907" i="1" s="1"/>
  <c r="O906" i="1"/>
  <c r="N906" i="1"/>
  <c r="M906" i="1"/>
  <c r="L906" i="1"/>
  <c r="K906" i="1"/>
  <c r="J906" i="1"/>
  <c r="I906" i="1"/>
  <c r="H906" i="1"/>
  <c r="G906" i="1" s="1"/>
  <c r="O905" i="1"/>
  <c r="N905" i="1"/>
  <c r="M905" i="1"/>
  <c r="L905" i="1"/>
  <c r="K905" i="1"/>
  <c r="J905" i="1"/>
  <c r="I905" i="1"/>
  <c r="H905" i="1"/>
  <c r="G905" i="1" s="1"/>
  <c r="O904" i="1"/>
  <c r="N904" i="1"/>
  <c r="M904" i="1"/>
  <c r="L904" i="1"/>
  <c r="K904" i="1"/>
  <c r="J904" i="1"/>
  <c r="I904" i="1"/>
  <c r="H904" i="1"/>
  <c r="G904" i="1" s="1"/>
  <c r="O903" i="1"/>
  <c r="N903" i="1"/>
  <c r="M903" i="1"/>
  <c r="L903" i="1"/>
  <c r="K903" i="1"/>
  <c r="J903" i="1"/>
  <c r="I903" i="1"/>
  <c r="H903" i="1"/>
  <c r="G903" i="1" s="1"/>
  <c r="O902" i="1"/>
  <c r="N902" i="1"/>
  <c r="M902" i="1"/>
  <c r="L902" i="1"/>
  <c r="K902" i="1"/>
  <c r="J902" i="1"/>
  <c r="I902" i="1"/>
  <c r="H902" i="1"/>
  <c r="G902" i="1" s="1"/>
  <c r="O901" i="1"/>
  <c r="N901" i="1"/>
  <c r="M901" i="1"/>
  <c r="L901" i="1"/>
  <c r="K901" i="1"/>
  <c r="J901" i="1"/>
  <c r="I901" i="1"/>
  <c r="H901" i="1"/>
  <c r="G901" i="1" s="1"/>
  <c r="O900" i="1"/>
  <c r="N900" i="1"/>
  <c r="M900" i="1"/>
  <c r="L900" i="1"/>
  <c r="K900" i="1"/>
  <c r="J900" i="1"/>
  <c r="I900" i="1"/>
  <c r="H900" i="1"/>
  <c r="G900" i="1" s="1"/>
  <c r="O899" i="1"/>
  <c r="N899" i="1"/>
  <c r="M899" i="1"/>
  <c r="L899" i="1"/>
  <c r="K899" i="1"/>
  <c r="J899" i="1"/>
  <c r="I899" i="1"/>
  <c r="H899" i="1"/>
  <c r="G899" i="1" s="1"/>
  <c r="O898" i="1"/>
  <c r="N898" i="1"/>
  <c r="M898" i="1"/>
  <c r="L898" i="1"/>
  <c r="K898" i="1"/>
  <c r="J898" i="1"/>
  <c r="I898" i="1"/>
  <c r="H898" i="1"/>
  <c r="G898" i="1" s="1"/>
  <c r="O897" i="1"/>
  <c r="N897" i="1"/>
  <c r="M897" i="1"/>
  <c r="L897" i="1"/>
  <c r="K897" i="1"/>
  <c r="J897" i="1"/>
  <c r="I897" i="1"/>
  <c r="H897" i="1"/>
  <c r="G897" i="1" s="1"/>
  <c r="O896" i="1"/>
  <c r="N896" i="1"/>
  <c r="M896" i="1"/>
  <c r="L896" i="1"/>
  <c r="K896" i="1"/>
  <c r="J896" i="1"/>
  <c r="I896" i="1"/>
  <c r="H896" i="1"/>
  <c r="G896" i="1" s="1"/>
  <c r="O895" i="1"/>
  <c r="N895" i="1"/>
  <c r="M895" i="1"/>
  <c r="L895" i="1"/>
  <c r="K895" i="1"/>
  <c r="J895" i="1"/>
  <c r="I895" i="1"/>
  <c r="H895" i="1"/>
  <c r="G895" i="1" s="1"/>
  <c r="O894" i="1"/>
  <c r="N894" i="1"/>
  <c r="M894" i="1"/>
  <c r="L894" i="1"/>
  <c r="K894" i="1"/>
  <c r="J894" i="1"/>
  <c r="I894" i="1"/>
  <c r="H894" i="1"/>
  <c r="G894" i="1" s="1"/>
  <c r="O893" i="1"/>
  <c r="N893" i="1"/>
  <c r="M893" i="1"/>
  <c r="L893" i="1"/>
  <c r="K893" i="1"/>
  <c r="J893" i="1"/>
  <c r="I893" i="1"/>
  <c r="H893" i="1"/>
  <c r="G893" i="1" s="1"/>
  <c r="O892" i="1"/>
  <c r="N892" i="1"/>
  <c r="M892" i="1"/>
  <c r="L892" i="1"/>
  <c r="K892" i="1"/>
  <c r="J892" i="1"/>
  <c r="I892" i="1"/>
  <c r="H892" i="1"/>
  <c r="G892" i="1" s="1"/>
  <c r="O891" i="1"/>
  <c r="N891" i="1"/>
  <c r="M891" i="1"/>
  <c r="L891" i="1"/>
  <c r="K891" i="1"/>
  <c r="J891" i="1"/>
  <c r="I891" i="1"/>
  <c r="H891" i="1"/>
  <c r="G891" i="1" s="1"/>
  <c r="O890" i="1"/>
  <c r="N890" i="1"/>
  <c r="M890" i="1"/>
  <c r="L890" i="1"/>
  <c r="K890" i="1"/>
  <c r="J890" i="1"/>
  <c r="I890" i="1"/>
  <c r="H890" i="1"/>
  <c r="G890" i="1" s="1"/>
  <c r="O889" i="1"/>
  <c r="N889" i="1"/>
  <c r="M889" i="1"/>
  <c r="L889" i="1"/>
  <c r="K889" i="1"/>
  <c r="J889" i="1"/>
  <c r="I889" i="1"/>
  <c r="H889" i="1"/>
  <c r="G889" i="1" s="1"/>
  <c r="O888" i="1"/>
  <c r="N888" i="1"/>
  <c r="M888" i="1"/>
  <c r="L888" i="1"/>
  <c r="K888" i="1"/>
  <c r="J888" i="1"/>
  <c r="I888" i="1"/>
  <c r="H888" i="1"/>
  <c r="G888" i="1" s="1"/>
  <c r="O887" i="1"/>
  <c r="N887" i="1"/>
  <c r="M887" i="1"/>
  <c r="L887" i="1"/>
  <c r="K887" i="1"/>
  <c r="J887" i="1"/>
  <c r="I887" i="1"/>
  <c r="H887" i="1"/>
  <c r="G887" i="1" s="1"/>
  <c r="O886" i="1"/>
  <c r="N886" i="1"/>
  <c r="M886" i="1"/>
  <c r="L886" i="1"/>
  <c r="K886" i="1"/>
  <c r="J886" i="1"/>
  <c r="I886" i="1"/>
  <c r="H886" i="1"/>
  <c r="G886" i="1" s="1"/>
  <c r="O885" i="1"/>
  <c r="N885" i="1"/>
  <c r="M885" i="1"/>
  <c r="L885" i="1"/>
  <c r="K885" i="1"/>
  <c r="J885" i="1"/>
  <c r="I885" i="1"/>
  <c r="H885" i="1"/>
  <c r="G885" i="1" s="1"/>
  <c r="O884" i="1"/>
  <c r="N884" i="1"/>
  <c r="M884" i="1"/>
  <c r="L884" i="1"/>
  <c r="K884" i="1"/>
  <c r="J884" i="1"/>
  <c r="I884" i="1"/>
  <c r="H884" i="1"/>
  <c r="G884" i="1" s="1"/>
  <c r="O883" i="1"/>
  <c r="N883" i="1"/>
  <c r="M883" i="1"/>
  <c r="L883" i="1"/>
  <c r="K883" i="1"/>
  <c r="J883" i="1"/>
  <c r="I883" i="1"/>
  <c r="H883" i="1"/>
  <c r="G883" i="1" s="1"/>
  <c r="O882" i="1"/>
  <c r="N882" i="1"/>
  <c r="M882" i="1"/>
  <c r="L882" i="1"/>
  <c r="K882" i="1"/>
  <c r="J882" i="1"/>
  <c r="I882" i="1"/>
  <c r="H882" i="1"/>
  <c r="G882" i="1" s="1"/>
  <c r="O881" i="1"/>
  <c r="N881" i="1"/>
  <c r="M881" i="1"/>
  <c r="L881" i="1"/>
  <c r="K881" i="1"/>
  <c r="J881" i="1"/>
  <c r="I881" i="1"/>
  <c r="H881" i="1"/>
  <c r="G881" i="1" s="1"/>
  <c r="O880" i="1"/>
  <c r="N880" i="1"/>
  <c r="M880" i="1"/>
  <c r="L880" i="1"/>
  <c r="K880" i="1"/>
  <c r="J880" i="1"/>
  <c r="I880" i="1"/>
  <c r="H880" i="1"/>
  <c r="G880" i="1" s="1"/>
  <c r="O879" i="1"/>
  <c r="N879" i="1"/>
  <c r="M879" i="1"/>
  <c r="L879" i="1"/>
  <c r="K879" i="1"/>
  <c r="J879" i="1"/>
  <c r="I879" i="1"/>
  <c r="H879" i="1"/>
  <c r="G879" i="1" s="1"/>
  <c r="O878" i="1"/>
  <c r="N878" i="1"/>
  <c r="M878" i="1"/>
  <c r="L878" i="1"/>
  <c r="K878" i="1"/>
  <c r="J878" i="1"/>
  <c r="I878" i="1"/>
  <c r="H878" i="1"/>
  <c r="G878" i="1" s="1"/>
  <c r="O877" i="1"/>
  <c r="N877" i="1"/>
  <c r="M877" i="1"/>
  <c r="L877" i="1"/>
  <c r="K877" i="1"/>
  <c r="J877" i="1"/>
  <c r="I877" i="1"/>
  <c r="H877" i="1"/>
  <c r="G877" i="1" s="1"/>
  <c r="O876" i="1"/>
  <c r="N876" i="1"/>
  <c r="M876" i="1"/>
  <c r="L876" i="1"/>
  <c r="K876" i="1"/>
  <c r="J876" i="1"/>
  <c r="I876" i="1"/>
  <c r="H876" i="1"/>
  <c r="G876" i="1" s="1"/>
  <c r="O875" i="1"/>
  <c r="N875" i="1"/>
  <c r="M875" i="1"/>
  <c r="L875" i="1"/>
  <c r="K875" i="1"/>
  <c r="J875" i="1"/>
  <c r="I875" i="1"/>
  <c r="H875" i="1"/>
  <c r="G875" i="1" s="1"/>
  <c r="O874" i="1"/>
  <c r="N874" i="1"/>
  <c r="M874" i="1"/>
  <c r="L874" i="1"/>
  <c r="K874" i="1"/>
  <c r="J874" i="1"/>
  <c r="I874" i="1"/>
  <c r="H874" i="1"/>
  <c r="G874" i="1" s="1"/>
  <c r="O873" i="1"/>
  <c r="N873" i="1"/>
  <c r="M873" i="1"/>
  <c r="L873" i="1"/>
  <c r="K873" i="1"/>
  <c r="J873" i="1"/>
  <c r="I873" i="1"/>
  <c r="H873" i="1"/>
  <c r="G873" i="1" s="1"/>
  <c r="O872" i="1"/>
  <c r="N872" i="1"/>
  <c r="M872" i="1"/>
  <c r="L872" i="1"/>
  <c r="K872" i="1"/>
  <c r="J872" i="1"/>
  <c r="I872" i="1"/>
  <c r="H872" i="1"/>
  <c r="G872" i="1" s="1"/>
  <c r="O871" i="1"/>
  <c r="N871" i="1"/>
  <c r="M871" i="1"/>
  <c r="L871" i="1"/>
  <c r="K871" i="1"/>
  <c r="J871" i="1"/>
  <c r="I871" i="1"/>
  <c r="H871" i="1"/>
  <c r="G871" i="1" s="1"/>
  <c r="O870" i="1"/>
  <c r="N870" i="1"/>
  <c r="M870" i="1"/>
  <c r="L870" i="1"/>
  <c r="K870" i="1"/>
  <c r="J870" i="1"/>
  <c r="I870" i="1"/>
  <c r="H870" i="1"/>
  <c r="G870" i="1" s="1"/>
  <c r="O869" i="1"/>
  <c r="N869" i="1"/>
  <c r="M869" i="1"/>
  <c r="L869" i="1"/>
  <c r="K869" i="1"/>
  <c r="J869" i="1"/>
  <c r="I869" i="1"/>
  <c r="H869" i="1"/>
  <c r="G869" i="1" s="1"/>
  <c r="O868" i="1"/>
  <c r="N868" i="1"/>
  <c r="M868" i="1"/>
  <c r="L868" i="1"/>
  <c r="K868" i="1"/>
  <c r="J868" i="1"/>
  <c r="I868" i="1"/>
  <c r="H868" i="1"/>
  <c r="G868" i="1" s="1"/>
  <c r="O867" i="1"/>
  <c r="N867" i="1"/>
  <c r="M867" i="1"/>
  <c r="L867" i="1"/>
  <c r="K867" i="1"/>
  <c r="J867" i="1"/>
  <c r="I867" i="1"/>
  <c r="H867" i="1"/>
  <c r="G867" i="1" s="1"/>
  <c r="O866" i="1"/>
  <c r="N866" i="1"/>
  <c r="M866" i="1"/>
  <c r="L866" i="1"/>
  <c r="K866" i="1"/>
  <c r="J866" i="1"/>
  <c r="I866" i="1"/>
  <c r="H866" i="1"/>
  <c r="G866" i="1" s="1"/>
  <c r="O865" i="1"/>
  <c r="N865" i="1"/>
  <c r="M865" i="1"/>
  <c r="L865" i="1"/>
  <c r="K865" i="1"/>
  <c r="J865" i="1"/>
  <c r="I865" i="1"/>
  <c r="H865" i="1"/>
  <c r="G865" i="1" s="1"/>
  <c r="O864" i="1"/>
  <c r="N864" i="1"/>
  <c r="M864" i="1"/>
  <c r="L864" i="1"/>
  <c r="K864" i="1"/>
  <c r="J864" i="1"/>
  <c r="I864" i="1"/>
  <c r="H864" i="1"/>
  <c r="G864" i="1" s="1"/>
  <c r="O863" i="1"/>
  <c r="N863" i="1"/>
  <c r="M863" i="1"/>
  <c r="L863" i="1"/>
  <c r="K863" i="1"/>
  <c r="J863" i="1"/>
  <c r="I863" i="1"/>
  <c r="H863" i="1"/>
  <c r="G863" i="1" s="1"/>
  <c r="O862" i="1"/>
  <c r="N862" i="1"/>
  <c r="M862" i="1"/>
  <c r="L862" i="1"/>
  <c r="K862" i="1"/>
  <c r="J862" i="1"/>
  <c r="I862" i="1"/>
  <c r="H862" i="1"/>
  <c r="G862" i="1" s="1"/>
  <c r="O861" i="1"/>
  <c r="N861" i="1"/>
  <c r="M861" i="1"/>
  <c r="L861" i="1"/>
  <c r="K861" i="1"/>
  <c r="J861" i="1"/>
  <c r="I861" i="1"/>
  <c r="H861" i="1"/>
  <c r="G861" i="1" s="1"/>
  <c r="O860" i="1"/>
  <c r="N860" i="1"/>
  <c r="M860" i="1"/>
  <c r="L860" i="1"/>
  <c r="K860" i="1"/>
  <c r="J860" i="1"/>
  <c r="I860" i="1"/>
  <c r="H860" i="1"/>
  <c r="G860" i="1" s="1"/>
  <c r="O859" i="1"/>
  <c r="N859" i="1"/>
  <c r="M859" i="1"/>
  <c r="L859" i="1"/>
  <c r="K859" i="1"/>
  <c r="J859" i="1"/>
  <c r="I859" i="1"/>
  <c r="H859" i="1"/>
  <c r="G859" i="1" s="1"/>
  <c r="O858" i="1"/>
  <c r="N858" i="1"/>
  <c r="M858" i="1"/>
  <c r="L858" i="1"/>
  <c r="K858" i="1"/>
  <c r="J858" i="1"/>
  <c r="I858" i="1"/>
  <c r="H858" i="1"/>
  <c r="G858" i="1" s="1"/>
  <c r="O857" i="1"/>
  <c r="N857" i="1"/>
  <c r="M857" i="1"/>
  <c r="L857" i="1"/>
  <c r="K857" i="1"/>
  <c r="J857" i="1"/>
  <c r="I857" i="1"/>
  <c r="H857" i="1"/>
  <c r="G857" i="1" s="1"/>
  <c r="O856" i="1"/>
  <c r="N856" i="1"/>
  <c r="M856" i="1"/>
  <c r="L856" i="1"/>
  <c r="K856" i="1"/>
  <c r="J856" i="1"/>
  <c r="I856" i="1"/>
  <c r="H856" i="1"/>
  <c r="G856" i="1" s="1"/>
  <c r="O855" i="1"/>
  <c r="N855" i="1"/>
  <c r="M855" i="1"/>
  <c r="L855" i="1"/>
  <c r="K855" i="1"/>
  <c r="J855" i="1"/>
  <c r="I855" i="1"/>
  <c r="H855" i="1"/>
  <c r="G855" i="1" s="1"/>
  <c r="O854" i="1"/>
  <c r="N854" i="1"/>
  <c r="M854" i="1"/>
  <c r="L854" i="1"/>
  <c r="K854" i="1"/>
  <c r="J854" i="1"/>
  <c r="I854" i="1"/>
  <c r="H854" i="1"/>
  <c r="G854" i="1" s="1"/>
  <c r="O853" i="1"/>
  <c r="N853" i="1"/>
  <c r="M853" i="1"/>
  <c r="L853" i="1"/>
  <c r="K853" i="1"/>
  <c r="J853" i="1"/>
  <c r="I853" i="1"/>
  <c r="H853" i="1"/>
  <c r="G853" i="1" s="1"/>
  <c r="O852" i="1"/>
  <c r="N852" i="1"/>
  <c r="M852" i="1"/>
  <c r="L852" i="1"/>
  <c r="K852" i="1"/>
  <c r="J852" i="1"/>
  <c r="I852" i="1"/>
  <c r="H852" i="1"/>
  <c r="G852" i="1" s="1"/>
  <c r="O851" i="1"/>
  <c r="N851" i="1"/>
  <c r="M851" i="1"/>
  <c r="L851" i="1"/>
  <c r="K851" i="1"/>
  <c r="J851" i="1"/>
  <c r="I851" i="1"/>
  <c r="H851" i="1"/>
  <c r="G851" i="1" s="1"/>
  <c r="O850" i="1"/>
  <c r="N850" i="1"/>
  <c r="M850" i="1"/>
  <c r="L850" i="1"/>
  <c r="K850" i="1"/>
  <c r="J850" i="1"/>
  <c r="I850" i="1"/>
  <c r="H850" i="1"/>
  <c r="G850" i="1" s="1"/>
  <c r="O849" i="1"/>
  <c r="N849" i="1"/>
  <c r="M849" i="1"/>
  <c r="L849" i="1"/>
  <c r="K849" i="1"/>
  <c r="J849" i="1"/>
  <c r="I849" i="1"/>
  <c r="H849" i="1"/>
  <c r="G849" i="1" s="1"/>
  <c r="O848" i="1"/>
  <c r="N848" i="1"/>
  <c r="M848" i="1"/>
  <c r="L848" i="1"/>
  <c r="K848" i="1"/>
  <c r="J848" i="1"/>
  <c r="I848" i="1"/>
  <c r="H848" i="1"/>
  <c r="G848" i="1" s="1"/>
  <c r="O847" i="1"/>
  <c r="N847" i="1"/>
  <c r="M847" i="1"/>
  <c r="L847" i="1"/>
  <c r="K847" i="1"/>
  <c r="J847" i="1"/>
  <c r="I847" i="1"/>
  <c r="H847" i="1"/>
  <c r="G847" i="1" s="1"/>
  <c r="O846" i="1"/>
  <c r="N846" i="1"/>
  <c r="M846" i="1"/>
  <c r="L846" i="1"/>
  <c r="K846" i="1"/>
  <c r="J846" i="1"/>
  <c r="I846" i="1"/>
  <c r="H846" i="1"/>
  <c r="G846" i="1" s="1"/>
  <c r="O845" i="1"/>
  <c r="N845" i="1"/>
  <c r="M845" i="1"/>
  <c r="L845" i="1"/>
  <c r="K845" i="1"/>
  <c r="J845" i="1"/>
  <c r="I845" i="1"/>
  <c r="H845" i="1"/>
  <c r="G845" i="1" s="1"/>
  <c r="O844" i="1"/>
  <c r="N844" i="1"/>
  <c r="M844" i="1"/>
  <c r="L844" i="1"/>
  <c r="K844" i="1"/>
  <c r="J844" i="1"/>
  <c r="I844" i="1"/>
  <c r="H844" i="1"/>
  <c r="G844" i="1" s="1"/>
  <c r="O843" i="1"/>
  <c r="N843" i="1"/>
  <c r="M843" i="1"/>
  <c r="L843" i="1"/>
  <c r="K843" i="1"/>
  <c r="J843" i="1"/>
  <c r="I843" i="1"/>
  <c r="H843" i="1"/>
  <c r="G843" i="1" s="1"/>
  <c r="O842" i="1"/>
  <c r="N842" i="1"/>
  <c r="M842" i="1"/>
  <c r="L842" i="1"/>
  <c r="K842" i="1"/>
  <c r="J842" i="1"/>
  <c r="I842" i="1"/>
  <c r="H842" i="1"/>
  <c r="G842" i="1" s="1"/>
  <c r="O841" i="1"/>
  <c r="N841" i="1"/>
  <c r="M841" i="1"/>
  <c r="L841" i="1"/>
  <c r="K841" i="1"/>
  <c r="J841" i="1"/>
  <c r="I841" i="1"/>
  <c r="H841" i="1"/>
  <c r="G841" i="1" s="1"/>
  <c r="O840" i="1"/>
  <c r="N840" i="1"/>
  <c r="M840" i="1"/>
  <c r="L840" i="1"/>
  <c r="K840" i="1"/>
  <c r="J840" i="1"/>
  <c r="I840" i="1"/>
  <c r="H840" i="1"/>
  <c r="G840" i="1" s="1"/>
  <c r="O839" i="1"/>
  <c r="N839" i="1"/>
  <c r="M839" i="1"/>
  <c r="L839" i="1"/>
  <c r="K839" i="1"/>
  <c r="J839" i="1"/>
  <c r="I839" i="1"/>
  <c r="H839" i="1"/>
  <c r="G839" i="1" s="1"/>
  <c r="O838" i="1"/>
  <c r="N838" i="1"/>
  <c r="M838" i="1"/>
  <c r="L838" i="1"/>
  <c r="K838" i="1"/>
  <c r="J838" i="1"/>
  <c r="I838" i="1"/>
  <c r="H838" i="1"/>
  <c r="G838" i="1" s="1"/>
  <c r="O837" i="1"/>
  <c r="N837" i="1"/>
  <c r="M837" i="1"/>
  <c r="L837" i="1"/>
  <c r="K837" i="1"/>
  <c r="J837" i="1"/>
  <c r="I837" i="1"/>
  <c r="H837" i="1"/>
  <c r="G837" i="1" s="1"/>
  <c r="O836" i="1"/>
  <c r="N836" i="1"/>
  <c r="M836" i="1"/>
  <c r="L836" i="1"/>
  <c r="K836" i="1"/>
  <c r="J836" i="1"/>
  <c r="I836" i="1"/>
  <c r="H836" i="1"/>
  <c r="G836" i="1" s="1"/>
  <c r="O835" i="1"/>
  <c r="N835" i="1"/>
  <c r="M835" i="1"/>
  <c r="L835" i="1"/>
  <c r="K835" i="1"/>
  <c r="J835" i="1"/>
  <c r="I835" i="1"/>
  <c r="H835" i="1"/>
  <c r="G835" i="1" s="1"/>
  <c r="O834" i="1"/>
  <c r="N834" i="1"/>
  <c r="M834" i="1"/>
  <c r="L834" i="1"/>
  <c r="K834" i="1"/>
  <c r="J834" i="1"/>
  <c r="I834" i="1"/>
  <c r="H834" i="1"/>
  <c r="G834" i="1" s="1"/>
  <c r="O833" i="1"/>
  <c r="N833" i="1"/>
  <c r="M833" i="1"/>
  <c r="L833" i="1"/>
  <c r="K833" i="1"/>
  <c r="J833" i="1"/>
  <c r="I833" i="1"/>
  <c r="H833" i="1"/>
  <c r="G833" i="1" s="1"/>
  <c r="O832" i="1"/>
  <c r="N832" i="1"/>
  <c r="M832" i="1"/>
  <c r="L832" i="1"/>
  <c r="K832" i="1"/>
  <c r="J832" i="1"/>
  <c r="I832" i="1"/>
  <c r="H832" i="1"/>
  <c r="G832" i="1" s="1"/>
  <c r="O831" i="1"/>
  <c r="N831" i="1"/>
  <c r="M831" i="1"/>
  <c r="L831" i="1"/>
  <c r="K831" i="1"/>
  <c r="J831" i="1"/>
  <c r="I831" i="1"/>
  <c r="H831" i="1"/>
  <c r="G831" i="1" s="1"/>
  <c r="O830" i="1"/>
  <c r="N830" i="1"/>
  <c r="M830" i="1"/>
  <c r="L830" i="1"/>
  <c r="K830" i="1"/>
  <c r="J830" i="1"/>
  <c r="I830" i="1"/>
  <c r="H830" i="1"/>
  <c r="G830" i="1" s="1"/>
  <c r="O829" i="1"/>
  <c r="N829" i="1"/>
  <c r="M829" i="1"/>
  <c r="L829" i="1"/>
  <c r="K829" i="1"/>
  <c r="J829" i="1"/>
  <c r="I829" i="1"/>
  <c r="H829" i="1"/>
  <c r="G829" i="1" s="1"/>
  <c r="O828" i="1"/>
  <c r="N828" i="1"/>
  <c r="M828" i="1"/>
  <c r="L828" i="1"/>
  <c r="K828" i="1"/>
  <c r="J828" i="1"/>
  <c r="I828" i="1"/>
  <c r="H828" i="1"/>
  <c r="G828" i="1" s="1"/>
  <c r="O827" i="1"/>
  <c r="N827" i="1"/>
  <c r="M827" i="1"/>
  <c r="L827" i="1"/>
  <c r="K827" i="1"/>
  <c r="J827" i="1"/>
  <c r="I827" i="1"/>
  <c r="H827" i="1"/>
  <c r="G827" i="1" s="1"/>
  <c r="O826" i="1"/>
  <c r="N826" i="1"/>
  <c r="M826" i="1"/>
  <c r="L826" i="1"/>
  <c r="K826" i="1"/>
  <c r="J826" i="1"/>
  <c r="I826" i="1"/>
  <c r="H826" i="1"/>
  <c r="G826" i="1" s="1"/>
  <c r="O825" i="1"/>
  <c r="N825" i="1"/>
  <c r="M825" i="1"/>
  <c r="L825" i="1"/>
  <c r="K825" i="1"/>
  <c r="J825" i="1"/>
  <c r="I825" i="1"/>
  <c r="H825" i="1"/>
  <c r="G825" i="1" s="1"/>
  <c r="O824" i="1"/>
  <c r="N824" i="1"/>
  <c r="M824" i="1"/>
  <c r="L824" i="1"/>
  <c r="K824" i="1"/>
  <c r="J824" i="1"/>
  <c r="I824" i="1"/>
  <c r="H824" i="1"/>
  <c r="G824" i="1" s="1"/>
  <c r="O823" i="1"/>
  <c r="N823" i="1"/>
  <c r="M823" i="1"/>
  <c r="L823" i="1"/>
  <c r="K823" i="1"/>
  <c r="J823" i="1"/>
  <c r="I823" i="1"/>
  <c r="H823" i="1"/>
  <c r="G823" i="1" s="1"/>
  <c r="O822" i="1"/>
  <c r="N822" i="1"/>
  <c r="M822" i="1"/>
  <c r="L822" i="1"/>
  <c r="K822" i="1"/>
  <c r="J822" i="1"/>
  <c r="I822" i="1"/>
  <c r="H822" i="1"/>
  <c r="G822" i="1" s="1"/>
  <c r="O821" i="1"/>
  <c r="N821" i="1"/>
  <c r="M821" i="1"/>
  <c r="L821" i="1"/>
  <c r="K821" i="1"/>
  <c r="J821" i="1"/>
  <c r="I821" i="1"/>
  <c r="H821" i="1"/>
  <c r="G821" i="1" s="1"/>
  <c r="O820" i="1"/>
  <c r="N820" i="1"/>
  <c r="M820" i="1"/>
  <c r="L820" i="1"/>
  <c r="K820" i="1"/>
  <c r="J820" i="1"/>
  <c r="I820" i="1"/>
  <c r="H820" i="1"/>
  <c r="G820" i="1" s="1"/>
  <c r="O819" i="1"/>
  <c r="N819" i="1"/>
  <c r="M819" i="1"/>
  <c r="L819" i="1"/>
  <c r="K819" i="1"/>
  <c r="J819" i="1"/>
  <c r="I819" i="1"/>
  <c r="H819" i="1"/>
  <c r="G819" i="1" s="1"/>
  <c r="O818" i="1"/>
  <c r="N818" i="1"/>
  <c r="M818" i="1"/>
  <c r="L818" i="1"/>
  <c r="K818" i="1"/>
  <c r="J818" i="1"/>
  <c r="I818" i="1"/>
  <c r="H818" i="1"/>
  <c r="G818" i="1" s="1"/>
  <c r="O817" i="1"/>
  <c r="N817" i="1"/>
  <c r="M817" i="1"/>
  <c r="L817" i="1"/>
  <c r="K817" i="1"/>
  <c r="J817" i="1"/>
  <c r="I817" i="1"/>
  <c r="H817" i="1"/>
  <c r="G817" i="1" s="1"/>
  <c r="O816" i="1"/>
  <c r="N816" i="1"/>
  <c r="M816" i="1"/>
  <c r="L816" i="1"/>
  <c r="K816" i="1"/>
  <c r="J816" i="1"/>
  <c r="I816" i="1"/>
  <c r="H816" i="1"/>
  <c r="G816" i="1" s="1"/>
  <c r="O815" i="1"/>
  <c r="N815" i="1"/>
  <c r="M815" i="1"/>
  <c r="L815" i="1"/>
  <c r="K815" i="1"/>
  <c r="J815" i="1"/>
  <c r="I815" i="1"/>
  <c r="H815" i="1"/>
  <c r="G815" i="1" s="1"/>
  <c r="O814" i="1"/>
  <c r="N814" i="1"/>
  <c r="M814" i="1"/>
  <c r="L814" i="1"/>
  <c r="K814" i="1"/>
  <c r="J814" i="1"/>
  <c r="I814" i="1"/>
  <c r="H814" i="1"/>
  <c r="G814" i="1" s="1"/>
  <c r="O813" i="1"/>
  <c r="N813" i="1"/>
  <c r="M813" i="1"/>
  <c r="L813" i="1"/>
  <c r="K813" i="1"/>
  <c r="J813" i="1"/>
  <c r="I813" i="1"/>
  <c r="H813" i="1"/>
  <c r="G813" i="1" s="1"/>
  <c r="O812" i="1"/>
  <c r="N812" i="1"/>
  <c r="M812" i="1"/>
  <c r="L812" i="1"/>
  <c r="K812" i="1"/>
  <c r="J812" i="1"/>
  <c r="I812" i="1"/>
  <c r="H812" i="1"/>
  <c r="G812" i="1" s="1"/>
  <c r="O811" i="1"/>
  <c r="N811" i="1"/>
  <c r="M811" i="1"/>
  <c r="L811" i="1"/>
  <c r="K811" i="1"/>
  <c r="J811" i="1"/>
  <c r="I811" i="1"/>
  <c r="H811" i="1"/>
  <c r="G811" i="1" s="1"/>
  <c r="O810" i="1"/>
  <c r="N810" i="1"/>
  <c r="M810" i="1"/>
  <c r="L810" i="1"/>
  <c r="K810" i="1"/>
  <c r="J810" i="1"/>
  <c r="I810" i="1"/>
  <c r="H810" i="1"/>
  <c r="G810" i="1" s="1"/>
  <c r="O809" i="1"/>
  <c r="N809" i="1"/>
  <c r="M809" i="1"/>
  <c r="L809" i="1"/>
  <c r="K809" i="1"/>
  <c r="J809" i="1"/>
  <c r="I809" i="1"/>
  <c r="H809" i="1"/>
  <c r="G809" i="1" s="1"/>
  <c r="O808" i="1"/>
  <c r="N808" i="1"/>
  <c r="M808" i="1"/>
  <c r="L808" i="1"/>
  <c r="K808" i="1"/>
  <c r="J808" i="1"/>
  <c r="I808" i="1"/>
  <c r="H808" i="1"/>
  <c r="G808" i="1" s="1"/>
  <c r="O807" i="1"/>
  <c r="N807" i="1"/>
  <c r="M807" i="1"/>
  <c r="L807" i="1"/>
  <c r="K807" i="1"/>
  <c r="J807" i="1"/>
  <c r="I807" i="1"/>
  <c r="H807" i="1"/>
  <c r="G807" i="1" s="1"/>
  <c r="O806" i="1"/>
  <c r="N806" i="1"/>
  <c r="M806" i="1"/>
  <c r="L806" i="1"/>
  <c r="K806" i="1"/>
  <c r="J806" i="1"/>
  <c r="I806" i="1"/>
  <c r="H806" i="1"/>
  <c r="G806" i="1" s="1"/>
  <c r="O805" i="1"/>
  <c r="N805" i="1"/>
  <c r="M805" i="1"/>
  <c r="L805" i="1"/>
  <c r="K805" i="1"/>
  <c r="J805" i="1"/>
  <c r="I805" i="1"/>
  <c r="H805" i="1"/>
  <c r="G805" i="1" s="1"/>
  <c r="O804" i="1"/>
  <c r="N804" i="1"/>
  <c r="M804" i="1"/>
  <c r="L804" i="1"/>
  <c r="K804" i="1"/>
  <c r="J804" i="1"/>
  <c r="I804" i="1"/>
  <c r="H804" i="1"/>
  <c r="G804" i="1" s="1"/>
  <c r="O803" i="1"/>
  <c r="N803" i="1"/>
  <c r="M803" i="1"/>
  <c r="L803" i="1"/>
  <c r="K803" i="1"/>
  <c r="J803" i="1"/>
  <c r="I803" i="1"/>
  <c r="H803" i="1"/>
  <c r="G803" i="1" s="1"/>
  <c r="O802" i="1"/>
  <c r="N802" i="1"/>
  <c r="M802" i="1"/>
  <c r="L802" i="1"/>
  <c r="K802" i="1"/>
  <c r="J802" i="1"/>
  <c r="I802" i="1"/>
  <c r="H802" i="1"/>
  <c r="G802" i="1" s="1"/>
  <c r="O801" i="1"/>
  <c r="N801" i="1"/>
  <c r="M801" i="1"/>
  <c r="L801" i="1"/>
  <c r="K801" i="1"/>
  <c r="J801" i="1"/>
  <c r="I801" i="1"/>
  <c r="H801" i="1"/>
  <c r="G801" i="1" s="1"/>
  <c r="O800" i="1"/>
  <c r="N800" i="1"/>
  <c r="M800" i="1"/>
  <c r="L800" i="1"/>
  <c r="K800" i="1"/>
  <c r="J800" i="1"/>
  <c r="I800" i="1"/>
  <c r="H800" i="1"/>
  <c r="G800" i="1" s="1"/>
  <c r="O799" i="1"/>
  <c r="N799" i="1"/>
  <c r="M799" i="1"/>
  <c r="L799" i="1"/>
  <c r="K799" i="1"/>
  <c r="J799" i="1"/>
  <c r="I799" i="1"/>
  <c r="H799" i="1"/>
  <c r="G799" i="1" s="1"/>
  <c r="O798" i="1"/>
  <c r="N798" i="1"/>
  <c r="M798" i="1"/>
  <c r="L798" i="1"/>
  <c r="K798" i="1"/>
  <c r="J798" i="1"/>
  <c r="I798" i="1"/>
  <c r="H798" i="1"/>
  <c r="G798" i="1" s="1"/>
  <c r="O797" i="1"/>
  <c r="N797" i="1"/>
  <c r="M797" i="1"/>
  <c r="L797" i="1"/>
  <c r="K797" i="1"/>
  <c r="J797" i="1"/>
  <c r="I797" i="1"/>
  <c r="H797" i="1"/>
  <c r="G797" i="1" s="1"/>
  <c r="O796" i="1"/>
  <c r="N796" i="1"/>
  <c r="M796" i="1"/>
  <c r="L796" i="1"/>
  <c r="K796" i="1"/>
  <c r="J796" i="1"/>
  <c r="I796" i="1"/>
  <c r="H796" i="1"/>
  <c r="G796" i="1" s="1"/>
  <c r="O795" i="1"/>
  <c r="N795" i="1"/>
  <c r="M795" i="1"/>
  <c r="L795" i="1"/>
  <c r="K795" i="1"/>
  <c r="J795" i="1"/>
  <c r="I795" i="1"/>
  <c r="H795" i="1"/>
  <c r="G795" i="1" s="1"/>
  <c r="O794" i="1"/>
  <c r="N794" i="1"/>
  <c r="M794" i="1"/>
  <c r="L794" i="1"/>
  <c r="K794" i="1"/>
  <c r="J794" i="1"/>
  <c r="I794" i="1"/>
  <c r="H794" i="1"/>
  <c r="G794" i="1" s="1"/>
  <c r="O793" i="1"/>
  <c r="N793" i="1"/>
  <c r="M793" i="1"/>
  <c r="L793" i="1"/>
  <c r="K793" i="1"/>
  <c r="J793" i="1"/>
  <c r="I793" i="1"/>
  <c r="H793" i="1"/>
  <c r="G793" i="1" s="1"/>
  <c r="O792" i="1"/>
  <c r="N792" i="1"/>
  <c r="M792" i="1"/>
  <c r="L792" i="1"/>
  <c r="K792" i="1"/>
  <c r="J792" i="1"/>
  <c r="I792" i="1"/>
  <c r="H792" i="1"/>
  <c r="G792" i="1" s="1"/>
  <c r="O791" i="1"/>
  <c r="N791" i="1"/>
  <c r="M791" i="1"/>
  <c r="L791" i="1"/>
  <c r="K791" i="1"/>
  <c r="J791" i="1"/>
  <c r="I791" i="1"/>
  <c r="H791" i="1"/>
  <c r="G791" i="1" s="1"/>
  <c r="O790" i="1"/>
  <c r="N790" i="1"/>
  <c r="M790" i="1"/>
  <c r="L790" i="1"/>
  <c r="K790" i="1"/>
  <c r="J790" i="1"/>
  <c r="I790" i="1"/>
  <c r="H790" i="1"/>
  <c r="G790" i="1" s="1"/>
  <c r="O789" i="1"/>
  <c r="N789" i="1"/>
  <c r="M789" i="1"/>
  <c r="L789" i="1"/>
  <c r="K789" i="1"/>
  <c r="J789" i="1"/>
  <c r="I789" i="1"/>
  <c r="H789" i="1"/>
  <c r="G789" i="1" s="1"/>
  <c r="O788" i="1"/>
  <c r="N788" i="1"/>
  <c r="M788" i="1"/>
  <c r="L788" i="1"/>
  <c r="K788" i="1"/>
  <c r="J788" i="1"/>
  <c r="I788" i="1"/>
  <c r="H788" i="1"/>
  <c r="G788" i="1" s="1"/>
  <c r="O787" i="1"/>
  <c r="N787" i="1"/>
  <c r="M787" i="1"/>
  <c r="L787" i="1"/>
  <c r="K787" i="1"/>
  <c r="J787" i="1"/>
  <c r="I787" i="1"/>
  <c r="H787" i="1"/>
  <c r="G787" i="1" s="1"/>
  <c r="O786" i="1"/>
  <c r="N786" i="1"/>
  <c r="M786" i="1"/>
  <c r="L786" i="1"/>
  <c r="K786" i="1"/>
  <c r="J786" i="1"/>
  <c r="I786" i="1"/>
  <c r="H786" i="1"/>
  <c r="G786" i="1" s="1"/>
  <c r="O785" i="1"/>
  <c r="N785" i="1"/>
  <c r="M785" i="1"/>
  <c r="L785" i="1"/>
  <c r="K785" i="1"/>
  <c r="J785" i="1"/>
  <c r="I785" i="1"/>
  <c r="H785" i="1"/>
  <c r="G785" i="1" s="1"/>
  <c r="O784" i="1"/>
  <c r="N784" i="1"/>
  <c r="M784" i="1"/>
  <c r="L784" i="1"/>
  <c r="K784" i="1"/>
  <c r="J784" i="1"/>
  <c r="I784" i="1"/>
  <c r="H784" i="1"/>
  <c r="G784" i="1" s="1"/>
  <c r="O783" i="1"/>
  <c r="N783" i="1"/>
  <c r="M783" i="1"/>
  <c r="L783" i="1"/>
  <c r="K783" i="1"/>
  <c r="J783" i="1"/>
  <c r="I783" i="1"/>
  <c r="H783" i="1"/>
  <c r="G783" i="1" s="1"/>
  <c r="O782" i="1"/>
  <c r="N782" i="1"/>
  <c r="M782" i="1"/>
  <c r="L782" i="1"/>
  <c r="K782" i="1"/>
  <c r="J782" i="1"/>
  <c r="I782" i="1"/>
  <c r="H782" i="1"/>
  <c r="G782" i="1" s="1"/>
  <c r="O781" i="1"/>
  <c r="N781" i="1"/>
  <c r="M781" i="1"/>
  <c r="L781" i="1"/>
  <c r="K781" i="1"/>
  <c r="J781" i="1"/>
  <c r="I781" i="1"/>
  <c r="H781" i="1"/>
  <c r="G781" i="1" s="1"/>
  <c r="O780" i="1"/>
  <c r="N780" i="1"/>
  <c r="M780" i="1"/>
  <c r="L780" i="1"/>
  <c r="K780" i="1"/>
  <c r="J780" i="1"/>
  <c r="I780" i="1"/>
  <c r="H780" i="1"/>
  <c r="G780" i="1" s="1"/>
  <c r="O779" i="1"/>
  <c r="N779" i="1"/>
  <c r="M779" i="1"/>
  <c r="L779" i="1"/>
  <c r="K779" i="1"/>
  <c r="J779" i="1"/>
  <c r="I779" i="1"/>
  <c r="H779" i="1"/>
  <c r="G779" i="1" s="1"/>
  <c r="O778" i="1"/>
  <c r="N778" i="1"/>
  <c r="M778" i="1"/>
  <c r="L778" i="1"/>
  <c r="K778" i="1"/>
  <c r="J778" i="1"/>
  <c r="I778" i="1"/>
  <c r="H778" i="1"/>
  <c r="G778" i="1" s="1"/>
  <c r="O777" i="1"/>
  <c r="N777" i="1"/>
  <c r="M777" i="1"/>
  <c r="L777" i="1"/>
  <c r="K777" i="1"/>
  <c r="J777" i="1"/>
  <c r="I777" i="1"/>
  <c r="H777" i="1"/>
  <c r="G777" i="1" s="1"/>
  <c r="O776" i="1"/>
  <c r="N776" i="1"/>
  <c r="M776" i="1"/>
  <c r="L776" i="1"/>
  <c r="K776" i="1"/>
  <c r="J776" i="1"/>
  <c r="I776" i="1"/>
  <c r="H776" i="1"/>
  <c r="G776" i="1" s="1"/>
  <c r="O775" i="1"/>
  <c r="N775" i="1"/>
  <c r="M775" i="1"/>
  <c r="L775" i="1"/>
  <c r="K775" i="1"/>
  <c r="J775" i="1"/>
  <c r="I775" i="1"/>
  <c r="H775" i="1"/>
  <c r="G775" i="1" s="1"/>
  <c r="O774" i="1"/>
  <c r="N774" i="1"/>
  <c r="M774" i="1"/>
  <c r="L774" i="1"/>
  <c r="K774" i="1"/>
  <c r="J774" i="1"/>
  <c r="I774" i="1"/>
  <c r="H774" i="1"/>
  <c r="G774" i="1" s="1"/>
  <c r="O773" i="1"/>
  <c r="N773" i="1"/>
  <c r="M773" i="1"/>
  <c r="L773" i="1"/>
  <c r="K773" i="1"/>
  <c r="J773" i="1"/>
  <c r="I773" i="1"/>
  <c r="H773" i="1"/>
  <c r="G773" i="1" s="1"/>
  <c r="O772" i="1"/>
  <c r="N772" i="1"/>
  <c r="M772" i="1"/>
  <c r="L772" i="1"/>
  <c r="K772" i="1"/>
  <c r="J772" i="1"/>
  <c r="I772" i="1"/>
  <c r="H772" i="1"/>
  <c r="G772" i="1" s="1"/>
  <c r="O771" i="1"/>
  <c r="N771" i="1"/>
  <c r="M771" i="1"/>
  <c r="L771" i="1"/>
  <c r="K771" i="1"/>
  <c r="J771" i="1"/>
  <c r="I771" i="1"/>
  <c r="H771" i="1"/>
  <c r="G771" i="1" s="1"/>
  <c r="O770" i="1"/>
  <c r="N770" i="1"/>
  <c r="M770" i="1"/>
  <c r="L770" i="1"/>
  <c r="K770" i="1"/>
  <c r="J770" i="1"/>
  <c r="I770" i="1"/>
  <c r="H770" i="1"/>
  <c r="G770" i="1" s="1"/>
  <c r="O769" i="1"/>
  <c r="N769" i="1"/>
  <c r="M769" i="1"/>
  <c r="L769" i="1"/>
  <c r="K769" i="1"/>
  <c r="J769" i="1"/>
  <c r="I769" i="1"/>
  <c r="H769" i="1"/>
  <c r="G769" i="1" s="1"/>
  <c r="O768" i="1"/>
  <c r="N768" i="1"/>
  <c r="M768" i="1"/>
  <c r="L768" i="1"/>
  <c r="K768" i="1"/>
  <c r="J768" i="1"/>
  <c r="I768" i="1"/>
  <c r="H768" i="1"/>
  <c r="G768" i="1" s="1"/>
  <c r="O767" i="1"/>
  <c r="N767" i="1"/>
  <c r="M767" i="1"/>
  <c r="L767" i="1"/>
  <c r="K767" i="1"/>
  <c r="J767" i="1"/>
  <c r="I767" i="1"/>
  <c r="H767" i="1"/>
  <c r="G767" i="1" s="1"/>
  <c r="O766" i="1"/>
  <c r="N766" i="1"/>
  <c r="M766" i="1"/>
  <c r="L766" i="1"/>
  <c r="K766" i="1"/>
  <c r="J766" i="1"/>
  <c r="I766" i="1"/>
  <c r="H766" i="1"/>
  <c r="G766" i="1" s="1"/>
  <c r="O765" i="1"/>
  <c r="N765" i="1"/>
  <c r="M765" i="1"/>
  <c r="L765" i="1"/>
  <c r="K765" i="1"/>
  <c r="J765" i="1"/>
  <c r="I765" i="1"/>
  <c r="H765" i="1"/>
  <c r="G765" i="1" s="1"/>
  <c r="O764" i="1"/>
  <c r="N764" i="1"/>
  <c r="M764" i="1"/>
  <c r="L764" i="1"/>
  <c r="K764" i="1"/>
  <c r="J764" i="1"/>
  <c r="I764" i="1"/>
  <c r="H764" i="1"/>
  <c r="G764" i="1" s="1"/>
  <c r="O763" i="1"/>
  <c r="N763" i="1"/>
  <c r="M763" i="1"/>
  <c r="L763" i="1"/>
  <c r="K763" i="1"/>
  <c r="J763" i="1"/>
  <c r="I763" i="1"/>
  <c r="H763" i="1"/>
  <c r="G763" i="1" s="1"/>
  <c r="O762" i="1"/>
  <c r="N762" i="1"/>
  <c r="M762" i="1"/>
  <c r="L762" i="1"/>
  <c r="K762" i="1"/>
  <c r="J762" i="1"/>
  <c r="I762" i="1"/>
  <c r="H762" i="1"/>
  <c r="G762" i="1" s="1"/>
  <c r="O761" i="1"/>
  <c r="N761" i="1"/>
  <c r="M761" i="1"/>
  <c r="L761" i="1"/>
  <c r="K761" i="1"/>
  <c r="J761" i="1"/>
  <c r="I761" i="1"/>
  <c r="H761" i="1"/>
  <c r="G761" i="1" s="1"/>
  <c r="O760" i="1"/>
  <c r="N760" i="1"/>
  <c r="M760" i="1"/>
  <c r="L760" i="1"/>
  <c r="K760" i="1"/>
  <c r="J760" i="1"/>
  <c r="I760" i="1"/>
  <c r="H760" i="1"/>
  <c r="G760" i="1" s="1"/>
  <c r="O759" i="1"/>
  <c r="N759" i="1"/>
  <c r="M759" i="1"/>
  <c r="L759" i="1"/>
  <c r="K759" i="1"/>
  <c r="J759" i="1"/>
  <c r="I759" i="1"/>
  <c r="H759" i="1"/>
  <c r="G759" i="1" s="1"/>
  <c r="O758" i="1"/>
  <c r="N758" i="1"/>
  <c r="M758" i="1"/>
  <c r="L758" i="1"/>
  <c r="K758" i="1"/>
  <c r="J758" i="1"/>
  <c r="I758" i="1"/>
  <c r="H758" i="1"/>
  <c r="G758" i="1" s="1"/>
  <c r="O757" i="1"/>
  <c r="N757" i="1"/>
  <c r="M757" i="1"/>
  <c r="L757" i="1"/>
  <c r="K757" i="1"/>
  <c r="J757" i="1"/>
  <c r="I757" i="1"/>
  <c r="H757" i="1"/>
  <c r="G757" i="1" s="1"/>
  <c r="O756" i="1"/>
  <c r="N756" i="1"/>
  <c r="M756" i="1"/>
  <c r="L756" i="1"/>
  <c r="K756" i="1"/>
  <c r="J756" i="1"/>
  <c r="I756" i="1"/>
  <c r="H756" i="1"/>
  <c r="G756" i="1" s="1"/>
  <c r="O755" i="1"/>
  <c r="N755" i="1"/>
  <c r="M755" i="1"/>
  <c r="L755" i="1"/>
  <c r="K755" i="1"/>
  <c r="J755" i="1"/>
  <c r="I755" i="1"/>
  <c r="H755" i="1"/>
  <c r="G755" i="1" s="1"/>
  <c r="O754" i="1"/>
  <c r="N754" i="1"/>
  <c r="M754" i="1"/>
  <c r="L754" i="1"/>
  <c r="K754" i="1"/>
  <c r="J754" i="1"/>
  <c r="I754" i="1"/>
  <c r="H754" i="1"/>
  <c r="G754" i="1" s="1"/>
  <c r="O753" i="1"/>
  <c r="N753" i="1"/>
  <c r="M753" i="1"/>
  <c r="L753" i="1"/>
  <c r="K753" i="1"/>
  <c r="J753" i="1"/>
  <c r="I753" i="1"/>
  <c r="H753" i="1"/>
  <c r="G753" i="1" s="1"/>
  <c r="O752" i="1"/>
  <c r="N752" i="1"/>
  <c r="M752" i="1"/>
  <c r="L752" i="1"/>
  <c r="K752" i="1"/>
  <c r="J752" i="1"/>
  <c r="I752" i="1"/>
  <c r="H752" i="1"/>
  <c r="G752" i="1" s="1"/>
  <c r="O751" i="1"/>
  <c r="N751" i="1"/>
  <c r="M751" i="1"/>
  <c r="L751" i="1"/>
  <c r="K751" i="1"/>
  <c r="J751" i="1"/>
  <c r="I751" i="1"/>
  <c r="H751" i="1"/>
  <c r="G751" i="1" s="1"/>
  <c r="O750" i="1"/>
  <c r="N750" i="1"/>
  <c r="M750" i="1"/>
  <c r="L750" i="1"/>
  <c r="K750" i="1"/>
  <c r="J750" i="1"/>
  <c r="I750" i="1"/>
  <c r="H750" i="1"/>
  <c r="G750" i="1" s="1"/>
  <c r="O749" i="1"/>
  <c r="N749" i="1"/>
  <c r="M749" i="1"/>
  <c r="L749" i="1"/>
  <c r="K749" i="1"/>
  <c r="J749" i="1"/>
  <c r="I749" i="1"/>
  <c r="H749" i="1"/>
  <c r="G749" i="1" s="1"/>
  <c r="O748" i="1"/>
  <c r="N748" i="1"/>
  <c r="M748" i="1"/>
  <c r="L748" i="1"/>
  <c r="K748" i="1"/>
  <c r="J748" i="1"/>
  <c r="I748" i="1"/>
  <c r="H748" i="1"/>
  <c r="G748" i="1" s="1"/>
  <c r="O747" i="1"/>
  <c r="N747" i="1"/>
  <c r="M747" i="1"/>
  <c r="L747" i="1"/>
  <c r="K747" i="1"/>
  <c r="J747" i="1"/>
  <c r="I747" i="1"/>
  <c r="H747" i="1"/>
  <c r="G747" i="1" s="1"/>
  <c r="O746" i="1"/>
  <c r="N746" i="1"/>
  <c r="M746" i="1"/>
  <c r="L746" i="1"/>
  <c r="K746" i="1"/>
  <c r="J746" i="1"/>
  <c r="I746" i="1"/>
  <c r="H746" i="1"/>
  <c r="G746" i="1" s="1"/>
  <c r="O745" i="1"/>
  <c r="N745" i="1"/>
  <c r="M745" i="1"/>
  <c r="L745" i="1"/>
  <c r="K745" i="1"/>
  <c r="J745" i="1"/>
  <c r="I745" i="1"/>
  <c r="H745" i="1"/>
  <c r="G745" i="1" s="1"/>
  <c r="O744" i="1"/>
  <c r="N744" i="1"/>
  <c r="M744" i="1"/>
  <c r="L744" i="1"/>
  <c r="K744" i="1"/>
  <c r="J744" i="1"/>
  <c r="I744" i="1"/>
  <c r="H744" i="1"/>
  <c r="G744" i="1" s="1"/>
  <c r="O743" i="1"/>
  <c r="N743" i="1"/>
  <c r="M743" i="1"/>
  <c r="L743" i="1"/>
  <c r="K743" i="1"/>
  <c r="J743" i="1"/>
  <c r="I743" i="1"/>
  <c r="H743" i="1"/>
  <c r="G743" i="1" s="1"/>
  <c r="O742" i="1"/>
  <c r="N742" i="1"/>
  <c r="M742" i="1"/>
  <c r="L742" i="1"/>
  <c r="K742" i="1"/>
  <c r="J742" i="1"/>
  <c r="I742" i="1"/>
  <c r="H742" i="1"/>
  <c r="G742" i="1" s="1"/>
  <c r="O741" i="1"/>
  <c r="N741" i="1"/>
  <c r="M741" i="1"/>
  <c r="L741" i="1"/>
  <c r="K741" i="1"/>
  <c r="J741" i="1"/>
  <c r="I741" i="1"/>
  <c r="H741" i="1"/>
  <c r="G741" i="1" s="1"/>
  <c r="O740" i="1"/>
  <c r="N740" i="1"/>
  <c r="M740" i="1"/>
  <c r="L740" i="1"/>
  <c r="K740" i="1"/>
  <c r="J740" i="1"/>
  <c r="I740" i="1"/>
  <c r="H740" i="1"/>
  <c r="G740" i="1" s="1"/>
  <c r="O739" i="1"/>
  <c r="N739" i="1"/>
  <c r="M739" i="1"/>
  <c r="L739" i="1"/>
  <c r="K739" i="1"/>
  <c r="J739" i="1"/>
  <c r="I739" i="1"/>
  <c r="H739" i="1"/>
  <c r="G739" i="1" s="1"/>
  <c r="O738" i="1"/>
  <c r="N738" i="1"/>
  <c r="M738" i="1"/>
  <c r="L738" i="1"/>
  <c r="K738" i="1"/>
  <c r="J738" i="1"/>
  <c r="I738" i="1"/>
  <c r="H738" i="1"/>
  <c r="G738" i="1" s="1"/>
  <c r="O737" i="1"/>
  <c r="N737" i="1"/>
  <c r="M737" i="1"/>
  <c r="L737" i="1"/>
  <c r="K737" i="1"/>
  <c r="J737" i="1"/>
  <c r="I737" i="1"/>
  <c r="H737" i="1"/>
  <c r="G737" i="1" s="1"/>
  <c r="O736" i="1"/>
  <c r="N736" i="1"/>
  <c r="M736" i="1"/>
  <c r="L736" i="1"/>
  <c r="K736" i="1"/>
  <c r="J736" i="1"/>
  <c r="I736" i="1"/>
  <c r="H736" i="1"/>
  <c r="G736" i="1" s="1"/>
  <c r="O735" i="1"/>
  <c r="N735" i="1"/>
  <c r="M735" i="1"/>
  <c r="L735" i="1"/>
  <c r="K735" i="1"/>
  <c r="J735" i="1"/>
  <c r="I735" i="1"/>
  <c r="H735" i="1"/>
  <c r="G735" i="1" s="1"/>
  <c r="O734" i="1"/>
  <c r="N734" i="1"/>
  <c r="M734" i="1"/>
  <c r="L734" i="1"/>
  <c r="K734" i="1"/>
  <c r="J734" i="1"/>
  <c r="I734" i="1"/>
  <c r="H734" i="1"/>
  <c r="G734" i="1" s="1"/>
  <c r="O733" i="1"/>
  <c r="N733" i="1"/>
  <c r="M733" i="1"/>
  <c r="L733" i="1"/>
  <c r="K733" i="1"/>
  <c r="J733" i="1"/>
  <c r="I733" i="1"/>
  <c r="H733" i="1"/>
  <c r="G733" i="1" s="1"/>
  <c r="O732" i="1"/>
  <c r="N732" i="1"/>
  <c r="M732" i="1"/>
  <c r="L732" i="1"/>
  <c r="K732" i="1"/>
  <c r="J732" i="1"/>
  <c r="I732" i="1"/>
  <c r="H732" i="1"/>
  <c r="G732" i="1" s="1"/>
  <c r="O731" i="1"/>
  <c r="N731" i="1"/>
  <c r="M731" i="1"/>
  <c r="L731" i="1"/>
  <c r="K731" i="1"/>
  <c r="J731" i="1"/>
  <c r="I731" i="1"/>
  <c r="H731" i="1"/>
  <c r="G731" i="1" s="1"/>
  <c r="O730" i="1"/>
  <c r="N730" i="1"/>
  <c r="M730" i="1"/>
  <c r="L730" i="1"/>
  <c r="K730" i="1"/>
  <c r="J730" i="1"/>
  <c r="I730" i="1"/>
  <c r="H730" i="1"/>
  <c r="G730" i="1" s="1"/>
  <c r="O729" i="1"/>
  <c r="N729" i="1"/>
  <c r="M729" i="1"/>
  <c r="L729" i="1"/>
  <c r="K729" i="1"/>
  <c r="J729" i="1"/>
  <c r="I729" i="1"/>
  <c r="H729" i="1"/>
  <c r="G729" i="1" s="1"/>
  <c r="O728" i="1"/>
  <c r="N728" i="1"/>
  <c r="M728" i="1"/>
  <c r="L728" i="1"/>
  <c r="K728" i="1"/>
  <c r="J728" i="1"/>
  <c r="I728" i="1"/>
  <c r="H728" i="1"/>
  <c r="G728" i="1" s="1"/>
  <c r="O727" i="1"/>
  <c r="N727" i="1"/>
  <c r="M727" i="1"/>
  <c r="L727" i="1"/>
  <c r="K727" i="1"/>
  <c r="J727" i="1"/>
  <c r="I727" i="1"/>
  <c r="H727" i="1"/>
  <c r="G727" i="1" s="1"/>
  <c r="O726" i="1"/>
  <c r="N726" i="1"/>
  <c r="M726" i="1"/>
  <c r="L726" i="1"/>
  <c r="K726" i="1"/>
  <c r="J726" i="1"/>
  <c r="I726" i="1"/>
  <c r="H726" i="1"/>
  <c r="G726" i="1" s="1"/>
  <c r="O725" i="1"/>
  <c r="N725" i="1"/>
  <c r="M725" i="1"/>
  <c r="L725" i="1"/>
  <c r="K725" i="1"/>
  <c r="J725" i="1"/>
  <c r="I725" i="1"/>
  <c r="H725" i="1"/>
  <c r="G725" i="1" s="1"/>
  <c r="O724" i="1"/>
  <c r="N724" i="1"/>
  <c r="M724" i="1"/>
  <c r="L724" i="1"/>
  <c r="K724" i="1"/>
  <c r="J724" i="1"/>
  <c r="I724" i="1"/>
  <c r="H724" i="1"/>
  <c r="G724" i="1" s="1"/>
  <c r="O723" i="1"/>
  <c r="N723" i="1"/>
  <c r="M723" i="1"/>
  <c r="L723" i="1"/>
  <c r="K723" i="1"/>
  <c r="J723" i="1"/>
  <c r="I723" i="1"/>
  <c r="H723" i="1"/>
  <c r="G723" i="1" s="1"/>
  <c r="O722" i="1"/>
  <c r="N722" i="1"/>
  <c r="M722" i="1"/>
  <c r="L722" i="1"/>
  <c r="K722" i="1"/>
  <c r="J722" i="1"/>
  <c r="I722" i="1"/>
  <c r="H722" i="1"/>
  <c r="G722" i="1" s="1"/>
  <c r="O721" i="1"/>
  <c r="N721" i="1"/>
  <c r="M721" i="1"/>
  <c r="L721" i="1"/>
  <c r="K721" i="1"/>
  <c r="J721" i="1"/>
  <c r="I721" i="1"/>
  <c r="H721" i="1"/>
  <c r="G721" i="1" s="1"/>
  <c r="O720" i="1"/>
  <c r="N720" i="1"/>
  <c r="M720" i="1"/>
  <c r="L720" i="1"/>
  <c r="K720" i="1"/>
  <c r="J720" i="1"/>
  <c r="I720" i="1"/>
  <c r="H720" i="1"/>
  <c r="G720" i="1" s="1"/>
  <c r="O719" i="1"/>
  <c r="N719" i="1"/>
  <c r="M719" i="1"/>
  <c r="L719" i="1"/>
  <c r="K719" i="1"/>
  <c r="J719" i="1"/>
  <c r="I719" i="1"/>
  <c r="H719" i="1"/>
  <c r="G719" i="1" s="1"/>
  <c r="O718" i="1"/>
  <c r="N718" i="1"/>
  <c r="M718" i="1"/>
  <c r="L718" i="1"/>
  <c r="K718" i="1"/>
  <c r="J718" i="1"/>
  <c r="I718" i="1"/>
  <c r="H718" i="1"/>
  <c r="G718" i="1" s="1"/>
  <c r="O717" i="1"/>
  <c r="N717" i="1"/>
  <c r="M717" i="1"/>
  <c r="L717" i="1"/>
  <c r="K717" i="1"/>
  <c r="J717" i="1"/>
  <c r="I717" i="1"/>
  <c r="H717" i="1"/>
  <c r="G717" i="1" s="1"/>
  <c r="O716" i="1"/>
  <c r="N716" i="1"/>
  <c r="M716" i="1"/>
  <c r="L716" i="1"/>
  <c r="K716" i="1"/>
  <c r="J716" i="1"/>
  <c r="I716" i="1"/>
  <c r="H716" i="1"/>
  <c r="G716" i="1" s="1"/>
  <c r="O715" i="1"/>
  <c r="N715" i="1"/>
  <c r="M715" i="1"/>
  <c r="L715" i="1"/>
  <c r="K715" i="1"/>
  <c r="J715" i="1"/>
  <c r="I715" i="1"/>
  <c r="H715" i="1"/>
  <c r="G715" i="1" s="1"/>
  <c r="O714" i="1"/>
  <c r="N714" i="1"/>
  <c r="M714" i="1"/>
  <c r="L714" i="1"/>
  <c r="K714" i="1"/>
  <c r="J714" i="1"/>
  <c r="I714" i="1"/>
  <c r="H714" i="1"/>
  <c r="G714" i="1" s="1"/>
  <c r="O713" i="1"/>
  <c r="N713" i="1"/>
  <c r="M713" i="1"/>
  <c r="L713" i="1"/>
  <c r="K713" i="1"/>
  <c r="J713" i="1"/>
  <c r="I713" i="1"/>
  <c r="H713" i="1"/>
  <c r="G713" i="1" s="1"/>
  <c r="O712" i="1"/>
  <c r="N712" i="1"/>
  <c r="M712" i="1"/>
  <c r="L712" i="1"/>
  <c r="K712" i="1"/>
  <c r="J712" i="1"/>
  <c r="I712" i="1"/>
  <c r="H712" i="1"/>
  <c r="G712" i="1" s="1"/>
  <c r="O711" i="1"/>
  <c r="N711" i="1"/>
  <c r="M711" i="1"/>
  <c r="L711" i="1"/>
  <c r="K711" i="1"/>
  <c r="J711" i="1"/>
  <c r="I711" i="1"/>
  <c r="H711" i="1"/>
  <c r="G711" i="1" s="1"/>
  <c r="O710" i="1"/>
  <c r="N710" i="1"/>
  <c r="M710" i="1"/>
  <c r="L710" i="1"/>
  <c r="K710" i="1"/>
  <c r="J710" i="1"/>
  <c r="I710" i="1"/>
  <c r="H710" i="1"/>
  <c r="G710" i="1" s="1"/>
  <c r="O709" i="1"/>
  <c r="N709" i="1"/>
  <c r="M709" i="1"/>
  <c r="L709" i="1"/>
  <c r="K709" i="1"/>
  <c r="J709" i="1"/>
  <c r="I709" i="1"/>
  <c r="H709" i="1"/>
  <c r="G709" i="1" s="1"/>
  <c r="O708" i="1"/>
  <c r="N708" i="1"/>
  <c r="M708" i="1"/>
  <c r="L708" i="1"/>
  <c r="K708" i="1"/>
  <c r="J708" i="1"/>
  <c r="I708" i="1"/>
  <c r="H708" i="1"/>
  <c r="G708" i="1" s="1"/>
  <c r="O707" i="1"/>
  <c r="N707" i="1"/>
  <c r="M707" i="1"/>
  <c r="L707" i="1"/>
  <c r="K707" i="1"/>
  <c r="J707" i="1"/>
  <c r="I707" i="1"/>
  <c r="H707" i="1"/>
  <c r="G707" i="1" s="1"/>
  <c r="O706" i="1"/>
  <c r="N706" i="1"/>
  <c r="M706" i="1"/>
  <c r="L706" i="1"/>
  <c r="K706" i="1"/>
  <c r="J706" i="1"/>
  <c r="I706" i="1"/>
  <c r="H706" i="1"/>
  <c r="G706" i="1" s="1"/>
  <c r="O705" i="1"/>
  <c r="N705" i="1"/>
  <c r="M705" i="1"/>
  <c r="L705" i="1"/>
  <c r="K705" i="1"/>
  <c r="J705" i="1"/>
  <c r="I705" i="1"/>
  <c r="H705" i="1"/>
  <c r="G705" i="1" s="1"/>
  <c r="O704" i="1"/>
  <c r="N704" i="1"/>
  <c r="M704" i="1"/>
  <c r="L704" i="1"/>
  <c r="K704" i="1"/>
  <c r="J704" i="1"/>
  <c r="I704" i="1"/>
  <c r="H704" i="1"/>
  <c r="G704" i="1" s="1"/>
  <c r="O703" i="1"/>
  <c r="N703" i="1"/>
  <c r="M703" i="1"/>
  <c r="L703" i="1"/>
  <c r="K703" i="1"/>
  <c r="J703" i="1"/>
  <c r="I703" i="1"/>
  <c r="H703" i="1"/>
  <c r="G703" i="1" s="1"/>
  <c r="O702" i="1"/>
  <c r="N702" i="1"/>
  <c r="M702" i="1"/>
  <c r="L702" i="1"/>
  <c r="K702" i="1"/>
  <c r="J702" i="1"/>
  <c r="I702" i="1"/>
  <c r="H702" i="1"/>
  <c r="G702" i="1" s="1"/>
  <c r="O701" i="1"/>
  <c r="N701" i="1"/>
  <c r="M701" i="1"/>
  <c r="L701" i="1"/>
  <c r="K701" i="1"/>
  <c r="J701" i="1"/>
  <c r="I701" i="1"/>
  <c r="H701" i="1"/>
  <c r="G701" i="1" s="1"/>
  <c r="O700" i="1"/>
  <c r="N700" i="1"/>
  <c r="M700" i="1"/>
  <c r="L700" i="1"/>
  <c r="K700" i="1"/>
  <c r="J700" i="1"/>
  <c r="I700" i="1"/>
  <c r="H700" i="1"/>
  <c r="G700" i="1" s="1"/>
  <c r="O699" i="1"/>
  <c r="N699" i="1"/>
  <c r="M699" i="1"/>
  <c r="L699" i="1"/>
  <c r="K699" i="1"/>
  <c r="J699" i="1"/>
  <c r="I699" i="1"/>
  <c r="H699" i="1"/>
  <c r="G699" i="1" s="1"/>
  <c r="O698" i="1"/>
  <c r="N698" i="1"/>
  <c r="M698" i="1"/>
  <c r="L698" i="1"/>
  <c r="K698" i="1"/>
  <c r="J698" i="1"/>
  <c r="I698" i="1"/>
  <c r="H698" i="1"/>
  <c r="G698" i="1" s="1"/>
  <c r="O697" i="1"/>
  <c r="N697" i="1"/>
  <c r="M697" i="1"/>
  <c r="L697" i="1"/>
  <c r="K697" i="1"/>
  <c r="J697" i="1"/>
  <c r="I697" i="1"/>
  <c r="H697" i="1"/>
  <c r="G697" i="1" s="1"/>
  <c r="O696" i="1"/>
  <c r="N696" i="1"/>
  <c r="M696" i="1"/>
  <c r="L696" i="1"/>
  <c r="K696" i="1"/>
  <c r="J696" i="1"/>
  <c r="I696" i="1"/>
  <c r="H696" i="1"/>
  <c r="G696" i="1" s="1"/>
  <c r="O695" i="1"/>
  <c r="N695" i="1"/>
  <c r="M695" i="1"/>
  <c r="L695" i="1"/>
  <c r="K695" i="1"/>
  <c r="J695" i="1"/>
  <c r="I695" i="1"/>
  <c r="H695" i="1"/>
  <c r="G695" i="1" s="1"/>
  <c r="O694" i="1"/>
  <c r="N694" i="1"/>
  <c r="M694" i="1"/>
  <c r="L694" i="1"/>
  <c r="K694" i="1"/>
  <c r="J694" i="1"/>
  <c r="I694" i="1"/>
  <c r="H694" i="1"/>
  <c r="G694" i="1" s="1"/>
  <c r="O693" i="1"/>
  <c r="N693" i="1"/>
  <c r="M693" i="1"/>
  <c r="L693" i="1"/>
  <c r="K693" i="1"/>
  <c r="J693" i="1"/>
  <c r="I693" i="1"/>
  <c r="H693" i="1"/>
  <c r="G693" i="1" s="1"/>
  <c r="O692" i="1"/>
  <c r="N692" i="1"/>
  <c r="M692" i="1"/>
  <c r="L692" i="1"/>
  <c r="K692" i="1"/>
  <c r="J692" i="1"/>
  <c r="I692" i="1"/>
  <c r="H692" i="1"/>
  <c r="G692" i="1" s="1"/>
  <c r="O691" i="1"/>
  <c r="N691" i="1"/>
  <c r="M691" i="1"/>
  <c r="L691" i="1"/>
  <c r="K691" i="1"/>
  <c r="J691" i="1"/>
  <c r="I691" i="1"/>
  <c r="H691" i="1"/>
  <c r="G691" i="1" s="1"/>
  <c r="O690" i="1"/>
  <c r="N690" i="1"/>
  <c r="M690" i="1"/>
  <c r="L690" i="1"/>
  <c r="K690" i="1"/>
  <c r="J690" i="1"/>
  <c r="I690" i="1"/>
  <c r="H690" i="1"/>
  <c r="G690" i="1" s="1"/>
  <c r="O689" i="1"/>
  <c r="N689" i="1"/>
  <c r="M689" i="1"/>
  <c r="L689" i="1"/>
  <c r="K689" i="1"/>
  <c r="J689" i="1"/>
  <c r="I689" i="1"/>
  <c r="H689" i="1"/>
  <c r="G689" i="1" s="1"/>
  <c r="O688" i="1"/>
  <c r="N688" i="1"/>
  <c r="M688" i="1"/>
  <c r="L688" i="1"/>
  <c r="K688" i="1"/>
  <c r="J688" i="1"/>
  <c r="I688" i="1"/>
  <c r="H688" i="1"/>
  <c r="G688" i="1" s="1"/>
  <c r="O687" i="1"/>
  <c r="N687" i="1"/>
  <c r="M687" i="1"/>
  <c r="L687" i="1"/>
  <c r="K687" i="1"/>
  <c r="J687" i="1"/>
  <c r="I687" i="1"/>
  <c r="H687" i="1"/>
  <c r="G687" i="1" s="1"/>
  <c r="O686" i="1"/>
  <c r="N686" i="1"/>
  <c r="M686" i="1"/>
  <c r="L686" i="1"/>
  <c r="K686" i="1"/>
  <c r="J686" i="1"/>
  <c r="I686" i="1"/>
  <c r="H686" i="1"/>
  <c r="G686" i="1" s="1"/>
  <c r="O685" i="1"/>
  <c r="N685" i="1"/>
  <c r="M685" i="1"/>
  <c r="L685" i="1"/>
  <c r="K685" i="1"/>
  <c r="J685" i="1"/>
  <c r="I685" i="1"/>
  <c r="H685" i="1"/>
  <c r="G685" i="1" s="1"/>
  <c r="O684" i="1"/>
  <c r="N684" i="1"/>
  <c r="M684" i="1"/>
  <c r="L684" i="1"/>
  <c r="K684" i="1"/>
  <c r="J684" i="1"/>
  <c r="I684" i="1"/>
  <c r="H684" i="1"/>
  <c r="G684" i="1" s="1"/>
  <c r="O683" i="1"/>
  <c r="N683" i="1"/>
  <c r="M683" i="1"/>
  <c r="L683" i="1"/>
  <c r="K683" i="1"/>
  <c r="J683" i="1"/>
  <c r="I683" i="1"/>
  <c r="H683" i="1"/>
  <c r="G683" i="1" s="1"/>
  <c r="O682" i="1"/>
  <c r="N682" i="1"/>
  <c r="M682" i="1"/>
  <c r="L682" i="1"/>
  <c r="K682" i="1"/>
  <c r="J682" i="1"/>
  <c r="I682" i="1"/>
  <c r="H682" i="1"/>
  <c r="G682" i="1" s="1"/>
  <c r="O681" i="1"/>
  <c r="N681" i="1"/>
  <c r="M681" i="1"/>
  <c r="L681" i="1"/>
  <c r="K681" i="1"/>
  <c r="J681" i="1"/>
  <c r="I681" i="1"/>
  <c r="H681" i="1"/>
  <c r="G681" i="1" s="1"/>
  <c r="O680" i="1"/>
  <c r="N680" i="1"/>
  <c r="M680" i="1"/>
  <c r="L680" i="1"/>
  <c r="K680" i="1"/>
  <c r="J680" i="1"/>
  <c r="I680" i="1"/>
  <c r="H680" i="1"/>
  <c r="G680" i="1" s="1"/>
  <c r="O679" i="1"/>
  <c r="N679" i="1"/>
  <c r="M679" i="1"/>
  <c r="L679" i="1"/>
  <c r="K679" i="1"/>
  <c r="J679" i="1"/>
  <c r="I679" i="1"/>
  <c r="H679" i="1"/>
  <c r="G679" i="1" s="1"/>
  <c r="O678" i="1"/>
  <c r="N678" i="1"/>
  <c r="M678" i="1"/>
  <c r="L678" i="1"/>
  <c r="K678" i="1"/>
  <c r="J678" i="1"/>
  <c r="I678" i="1"/>
  <c r="H678" i="1"/>
  <c r="G678" i="1" s="1"/>
  <c r="O677" i="1"/>
  <c r="N677" i="1"/>
  <c r="M677" i="1"/>
  <c r="L677" i="1"/>
  <c r="K677" i="1"/>
  <c r="J677" i="1"/>
  <c r="I677" i="1"/>
  <c r="H677" i="1"/>
  <c r="G677" i="1" s="1"/>
  <c r="O676" i="1"/>
  <c r="N676" i="1"/>
  <c r="M676" i="1"/>
  <c r="L676" i="1"/>
  <c r="K676" i="1"/>
  <c r="J676" i="1"/>
  <c r="I676" i="1"/>
  <c r="H676" i="1"/>
  <c r="G676" i="1" s="1"/>
  <c r="O675" i="1"/>
  <c r="N675" i="1"/>
  <c r="M675" i="1"/>
  <c r="L675" i="1"/>
  <c r="K675" i="1"/>
  <c r="J675" i="1"/>
  <c r="I675" i="1"/>
  <c r="H675" i="1"/>
  <c r="G675" i="1" s="1"/>
  <c r="O674" i="1"/>
  <c r="N674" i="1"/>
  <c r="M674" i="1"/>
  <c r="L674" i="1"/>
  <c r="K674" i="1"/>
  <c r="J674" i="1"/>
  <c r="I674" i="1"/>
  <c r="H674" i="1"/>
  <c r="G674" i="1" s="1"/>
  <c r="O673" i="1"/>
  <c r="N673" i="1"/>
  <c r="M673" i="1"/>
  <c r="L673" i="1"/>
  <c r="K673" i="1"/>
  <c r="J673" i="1"/>
  <c r="I673" i="1"/>
  <c r="H673" i="1"/>
  <c r="G673" i="1" s="1"/>
  <c r="O672" i="1"/>
  <c r="N672" i="1"/>
  <c r="M672" i="1"/>
  <c r="L672" i="1"/>
  <c r="K672" i="1"/>
  <c r="J672" i="1"/>
  <c r="I672" i="1"/>
  <c r="H672" i="1"/>
  <c r="G672" i="1" s="1"/>
  <c r="O671" i="1"/>
  <c r="N671" i="1"/>
  <c r="M671" i="1"/>
  <c r="L671" i="1"/>
  <c r="K671" i="1"/>
  <c r="J671" i="1"/>
  <c r="I671" i="1"/>
  <c r="H671" i="1"/>
  <c r="G671" i="1" s="1"/>
  <c r="O670" i="1"/>
  <c r="N670" i="1"/>
  <c r="M670" i="1"/>
  <c r="L670" i="1"/>
  <c r="K670" i="1"/>
  <c r="J670" i="1"/>
  <c r="I670" i="1"/>
  <c r="H670" i="1"/>
  <c r="G670" i="1" s="1"/>
  <c r="O669" i="1"/>
  <c r="N669" i="1"/>
  <c r="M669" i="1"/>
  <c r="L669" i="1"/>
  <c r="K669" i="1"/>
  <c r="J669" i="1"/>
  <c r="I669" i="1"/>
  <c r="H669" i="1"/>
  <c r="G669" i="1" s="1"/>
  <c r="O668" i="1"/>
  <c r="N668" i="1"/>
  <c r="M668" i="1"/>
  <c r="L668" i="1"/>
  <c r="K668" i="1"/>
  <c r="J668" i="1"/>
  <c r="I668" i="1"/>
  <c r="H668" i="1"/>
  <c r="G668" i="1" s="1"/>
  <c r="O667" i="1"/>
  <c r="N667" i="1"/>
  <c r="M667" i="1"/>
  <c r="L667" i="1"/>
  <c r="K667" i="1"/>
  <c r="J667" i="1"/>
  <c r="I667" i="1"/>
  <c r="H667" i="1"/>
  <c r="G667" i="1" s="1"/>
  <c r="O666" i="1"/>
  <c r="N666" i="1"/>
  <c r="M666" i="1"/>
  <c r="L666" i="1"/>
  <c r="K666" i="1"/>
  <c r="J666" i="1"/>
  <c r="I666" i="1"/>
  <c r="H666" i="1"/>
  <c r="G666" i="1" s="1"/>
  <c r="O665" i="1"/>
  <c r="N665" i="1"/>
  <c r="M665" i="1"/>
  <c r="L665" i="1"/>
  <c r="K665" i="1"/>
  <c r="J665" i="1"/>
  <c r="I665" i="1"/>
  <c r="H665" i="1"/>
  <c r="G665" i="1" s="1"/>
  <c r="O664" i="1"/>
  <c r="N664" i="1"/>
  <c r="M664" i="1"/>
  <c r="L664" i="1"/>
  <c r="K664" i="1"/>
  <c r="J664" i="1"/>
  <c r="I664" i="1"/>
  <c r="H664" i="1"/>
  <c r="G664" i="1" s="1"/>
  <c r="O663" i="1"/>
  <c r="N663" i="1"/>
  <c r="M663" i="1"/>
  <c r="L663" i="1"/>
  <c r="K663" i="1"/>
  <c r="J663" i="1"/>
  <c r="I663" i="1"/>
  <c r="H663" i="1"/>
  <c r="G663" i="1" s="1"/>
  <c r="O662" i="1"/>
  <c r="N662" i="1"/>
  <c r="M662" i="1"/>
  <c r="L662" i="1"/>
  <c r="K662" i="1"/>
  <c r="J662" i="1"/>
  <c r="I662" i="1"/>
  <c r="H662" i="1"/>
  <c r="G662" i="1" s="1"/>
  <c r="O661" i="1"/>
  <c r="N661" i="1"/>
  <c r="M661" i="1"/>
  <c r="L661" i="1"/>
  <c r="K661" i="1"/>
  <c r="J661" i="1"/>
  <c r="I661" i="1"/>
  <c r="H661" i="1"/>
  <c r="G661" i="1" s="1"/>
  <c r="O660" i="1"/>
  <c r="N660" i="1"/>
  <c r="M660" i="1"/>
  <c r="L660" i="1"/>
  <c r="K660" i="1"/>
  <c r="J660" i="1"/>
  <c r="I660" i="1"/>
  <c r="H660" i="1"/>
  <c r="G660" i="1" s="1"/>
  <c r="O659" i="1"/>
  <c r="N659" i="1"/>
  <c r="M659" i="1"/>
  <c r="L659" i="1"/>
  <c r="K659" i="1"/>
  <c r="J659" i="1"/>
  <c r="I659" i="1"/>
  <c r="H659" i="1"/>
  <c r="G659" i="1" s="1"/>
  <c r="O658" i="1"/>
  <c r="N658" i="1"/>
  <c r="M658" i="1"/>
  <c r="L658" i="1"/>
  <c r="K658" i="1"/>
  <c r="J658" i="1"/>
  <c r="I658" i="1"/>
  <c r="H658" i="1"/>
  <c r="G658" i="1" s="1"/>
  <c r="O657" i="1"/>
  <c r="N657" i="1"/>
  <c r="M657" i="1"/>
  <c r="L657" i="1"/>
  <c r="K657" i="1"/>
  <c r="J657" i="1"/>
  <c r="I657" i="1"/>
  <c r="H657" i="1"/>
  <c r="G657" i="1" s="1"/>
  <c r="O656" i="1"/>
  <c r="N656" i="1"/>
  <c r="M656" i="1"/>
  <c r="L656" i="1"/>
  <c r="K656" i="1"/>
  <c r="J656" i="1"/>
  <c r="I656" i="1"/>
  <c r="H656" i="1"/>
  <c r="G656" i="1" s="1"/>
  <c r="O655" i="1"/>
  <c r="N655" i="1"/>
  <c r="M655" i="1"/>
  <c r="L655" i="1"/>
  <c r="K655" i="1"/>
  <c r="J655" i="1"/>
  <c r="I655" i="1"/>
  <c r="H655" i="1"/>
  <c r="G655" i="1" s="1"/>
  <c r="O654" i="1"/>
  <c r="N654" i="1"/>
  <c r="M654" i="1"/>
  <c r="L654" i="1"/>
  <c r="K654" i="1"/>
  <c r="J654" i="1"/>
  <c r="I654" i="1"/>
  <c r="H654" i="1"/>
  <c r="G654" i="1" s="1"/>
  <c r="O653" i="1"/>
  <c r="N653" i="1"/>
  <c r="M653" i="1"/>
  <c r="L653" i="1"/>
  <c r="K653" i="1"/>
  <c r="J653" i="1"/>
  <c r="I653" i="1"/>
  <c r="H653" i="1"/>
  <c r="G653" i="1" s="1"/>
  <c r="O652" i="1"/>
  <c r="N652" i="1"/>
  <c r="M652" i="1"/>
  <c r="L652" i="1"/>
  <c r="K652" i="1"/>
  <c r="J652" i="1"/>
  <c r="I652" i="1"/>
  <c r="H652" i="1"/>
  <c r="G652" i="1" s="1"/>
  <c r="O651" i="1"/>
  <c r="N651" i="1"/>
  <c r="M651" i="1"/>
  <c r="L651" i="1"/>
  <c r="K651" i="1"/>
  <c r="J651" i="1"/>
  <c r="I651" i="1"/>
  <c r="H651" i="1"/>
  <c r="G651" i="1" s="1"/>
  <c r="O650" i="1"/>
  <c r="N650" i="1"/>
  <c r="M650" i="1"/>
  <c r="L650" i="1"/>
  <c r="K650" i="1"/>
  <c r="J650" i="1"/>
  <c r="I650" i="1"/>
  <c r="H650" i="1"/>
  <c r="G650" i="1" s="1"/>
  <c r="O649" i="1"/>
  <c r="N649" i="1"/>
  <c r="M649" i="1"/>
  <c r="L649" i="1"/>
  <c r="K649" i="1"/>
  <c r="J649" i="1"/>
  <c r="I649" i="1"/>
  <c r="H649" i="1"/>
  <c r="G649" i="1" s="1"/>
  <c r="O648" i="1"/>
  <c r="N648" i="1"/>
  <c r="M648" i="1"/>
  <c r="L648" i="1"/>
  <c r="K648" i="1"/>
  <c r="J648" i="1"/>
  <c r="I648" i="1"/>
  <c r="H648" i="1"/>
  <c r="G648" i="1" s="1"/>
  <c r="O647" i="1"/>
  <c r="N647" i="1"/>
  <c r="M647" i="1"/>
  <c r="L647" i="1"/>
  <c r="K647" i="1"/>
  <c r="J647" i="1"/>
  <c r="I647" i="1"/>
  <c r="H647" i="1"/>
  <c r="G647" i="1" s="1"/>
  <c r="O646" i="1"/>
  <c r="N646" i="1"/>
  <c r="M646" i="1"/>
  <c r="L646" i="1"/>
  <c r="K646" i="1"/>
  <c r="J646" i="1"/>
  <c r="I646" i="1"/>
  <c r="H646" i="1"/>
  <c r="G646" i="1" s="1"/>
  <c r="O645" i="1"/>
  <c r="N645" i="1"/>
  <c r="M645" i="1"/>
  <c r="L645" i="1"/>
  <c r="K645" i="1"/>
  <c r="J645" i="1"/>
  <c r="I645" i="1"/>
  <c r="H645" i="1"/>
  <c r="G645" i="1" s="1"/>
  <c r="O644" i="1"/>
  <c r="N644" i="1"/>
  <c r="M644" i="1"/>
  <c r="L644" i="1"/>
  <c r="K644" i="1"/>
  <c r="J644" i="1"/>
  <c r="I644" i="1"/>
  <c r="H644" i="1"/>
  <c r="G644" i="1" s="1"/>
  <c r="O643" i="1"/>
  <c r="N643" i="1"/>
  <c r="M643" i="1"/>
  <c r="L643" i="1"/>
  <c r="K643" i="1"/>
  <c r="J643" i="1"/>
  <c r="I643" i="1"/>
  <c r="H643" i="1"/>
  <c r="G643" i="1" s="1"/>
  <c r="O642" i="1"/>
  <c r="N642" i="1"/>
  <c r="M642" i="1"/>
  <c r="L642" i="1"/>
  <c r="K642" i="1"/>
  <c r="J642" i="1"/>
  <c r="I642" i="1"/>
  <c r="H642" i="1"/>
  <c r="G642" i="1" s="1"/>
  <c r="O641" i="1"/>
  <c r="N641" i="1"/>
  <c r="M641" i="1"/>
  <c r="L641" i="1"/>
  <c r="K641" i="1"/>
  <c r="J641" i="1"/>
  <c r="I641" i="1"/>
  <c r="H641" i="1"/>
  <c r="G641" i="1" s="1"/>
  <c r="O640" i="1"/>
  <c r="N640" i="1"/>
  <c r="M640" i="1"/>
  <c r="L640" i="1"/>
  <c r="K640" i="1"/>
  <c r="J640" i="1"/>
  <c r="I640" i="1"/>
  <c r="H640" i="1"/>
  <c r="G640" i="1" s="1"/>
  <c r="O639" i="1"/>
  <c r="N639" i="1"/>
  <c r="M639" i="1"/>
  <c r="L639" i="1"/>
  <c r="K639" i="1"/>
  <c r="J639" i="1"/>
  <c r="I639" i="1"/>
  <c r="H639" i="1"/>
  <c r="G639" i="1" s="1"/>
  <c r="O638" i="1"/>
  <c r="N638" i="1"/>
  <c r="M638" i="1"/>
  <c r="L638" i="1"/>
  <c r="K638" i="1"/>
  <c r="J638" i="1"/>
  <c r="I638" i="1"/>
  <c r="H638" i="1"/>
  <c r="G638" i="1" s="1"/>
  <c r="O637" i="1"/>
  <c r="N637" i="1"/>
  <c r="M637" i="1"/>
  <c r="L637" i="1"/>
  <c r="K637" i="1"/>
  <c r="J637" i="1"/>
  <c r="I637" i="1"/>
  <c r="H637" i="1"/>
  <c r="G637" i="1" s="1"/>
  <c r="O636" i="1"/>
  <c r="N636" i="1"/>
  <c r="M636" i="1"/>
  <c r="L636" i="1"/>
  <c r="K636" i="1"/>
  <c r="J636" i="1"/>
  <c r="I636" i="1"/>
  <c r="H636" i="1"/>
  <c r="G636" i="1" s="1"/>
  <c r="O635" i="1"/>
  <c r="N635" i="1"/>
  <c r="M635" i="1"/>
  <c r="L635" i="1"/>
  <c r="K635" i="1"/>
  <c r="J635" i="1"/>
  <c r="I635" i="1"/>
  <c r="H635" i="1"/>
  <c r="G635" i="1" s="1"/>
  <c r="O634" i="1"/>
  <c r="N634" i="1"/>
  <c r="M634" i="1"/>
  <c r="L634" i="1"/>
  <c r="K634" i="1"/>
  <c r="J634" i="1"/>
  <c r="I634" i="1"/>
  <c r="H634" i="1"/>
  <c r="G634" i="1" s="1"/>
  <c r="O633" i="1"/>
  <c r="N633" i="1"/>
  <c r="M633" i="1"/>
  <c r="L633" i="1"/>
  <c r="K633" i="1"/>
  <c r="J633" i="1"/>
  <c r="I633" i="1"/>
  <c r="H633" i="1"/>
  <c r="G633" i="1" s="1"/>
  <c r="O632" i="1"/>
  <c r="N632" i="1"/>
  <c r="M632" i="1"/>
  <c r="L632" i="1"/>
  <c r="K632" i="1"/>
  <c r="J632" i="1"/>
  <c r="I632" i="1"/>
  <c r="H632" i="1"/>
  <c r="G632" i="1" s="1"/>
  <c r="O631" i="1"/>
  <c r="N631" i="1"/>
  <c r="M631" i="1"/>
  <c r="L631" i="1"/>
  <c r="K631" i="1"/>
  <c r="J631" i="1"/>
  <c r="I631" i="1"/>
  <c r="H631" i="1"/>
  <c r="G631" i="1" s="1"/>
  <c r="O630" i="1"/>
  <c r="N630" i="1"/>
  <c r="M630" i="1"/>
  <c r="L630" i="1"/>
  <c r="K630" i="1"/>
  <c r="J630" i="1"/>
  <c r="I630" i="1"/>
  <c r="H630" i="1"/>
  <c r="G630" i="1" s="1"/>
  <c r="O629" i="1"/>
  <c r="N629" i="1"/>
  <c r="M629" i="1"/>
  <c r="L629" i="1"/>
  <c r="K629" i="1"/>
  <c r="J629" i="1"/>
  <c r="I629" i="1"/>
  <c r="H629" i="1"/>
  <c r="G629" i="1" s="1"/>
  <c r="O628" i="1"/>
  <c r="N628" i="1"/>
  <c r="M628" i="1"/>
  <c r="L628" i="1"/>
  <c r="K628" i="1"/>
  <c r="J628" i="1"/>
  <c r="I628" i="1"/>
  <c r="H628" i="1"/>
  <c r="G628" i="1" s="1"/>
  <c r="O627" i="1"/>
  <c r="N627" i="1"/>
  <c r="M627" i="1"/>
  <c r="L627" i="1"/>
  <c r="K627" i="1"/>
  <c r="J627" i="1"/>
  <c r="I627" i="1"/>
  <c r="H627" i="1"/>
  <c r="G627" i="1" s="1"/>
  <c r="O626" i="1"/>
  <c r="N626" i="1"/>
  <c r="M626" i="1"/>
  <c r="L626" i="1"/>
  <c r="K626" i="1"/>
  <c r="J626" i="1"/>
  <c r="I626" i="1"/>
  <c r="H626" i="1"/>
  <c r="G626" i="1" s="1"/>
  <c r="O625" i="1"/>
  <c r="N625" i="1"/>
  <c r="M625" i="1"/>
  <c r="L625" i="1"/>
  <c r="K625" i="1"/>
  <c r="J625" i="1"/>
  <c r="I625" i="1"/>
  <c r="H625" i="1"/>
  <c r="G625" i="1" s="1"/>
  <c r="O624" i="1"/>
  <c r="N624" i="1"/>
  <c r="M624" i="1"/>
  <c r="L624" i="1"/>
  <c r="K624" i="1"/>
  <c r="J624" i="1"/>
  <c r="I624" i="1"/>
  <c r="H624" i="1"/>
  <c r="G624" i="1" s="1"/>
  <c r="O623" i="1"/>
  <c r="N623" i="1"/>
  <c r="M623" i="1"/>
  <c r="L623" i="1"/>
  <c r="K623" i="1"/>
  <c r="J623" i="1"/>
  <c r="I623" i="1"/>
  <c r="H623" i="1"/>
  <c r="G623" i="1" s="1"/>
  <c r="O622" i="1"/>
  <c r="N622" i="1"/>
  <c r="M622" i="1"/>
  <c r="L622" i="1"/>
  <c r="K622" i="1"/>
  <c r="J622" i="1"/>
  <c r="I622" i="1"/>
  <c r="H622" i="1"/>
  <c r="G622" i="1" s="1"/>
  <c r="O621" i="1"/>
  <c r="N621" i="1"/>
  <c r="M621" i="1"/>
  <c r="L621" i="1"/>
  <c r="K621" i="1"/>
  <c r="J621" i="1"/>
  <c r="I621" i="1"/>
  <c r="H621" i="1"/>
  <c r="G621" i="1" s="1"/>
  <c r="O620" i="1"/>
  <c r="N620" i="1"/>
  <c r="M620" i="1"/>
  <c r="L620" i="1"/>
  <c r="K620" i="1"/>
  <c r="J620" i="1"/>
  <c r="I620" i="1"/>
  <c r="H620" i="1"/>
  <c r="G620" i="1" s="1"/>
  <c r="O619" i="1"/>
  <c r="N619" i="1"/>
  <c r="M619" i="1"/>
  <c r="L619" i="1"/>
  <c r="K619" i="1"/>
  <c r="J619" i="1"/>
  <c r="I619" i="1"/>
  <c r="H619" i="1"/>
  <c r="G619" i="1" s="1"/>
  <c r="O618" i="1"/>
  <c r="N618" i="1"/>
  <c r="M618" i="1"/>
  <c r="L618" i="1"/>
  <c r="K618" i="1"/>
  <c r="J618" i="1"/>
  <c r="I618" i="1"/>
  <c r="H618" i="1"/>
  <c r="G618" i="1" s="1"/>
  <c r="O617" i="1"/>
  <c r="N617" i="1"/>
  <c r="M617" i="1"/>
  <c r="L617" i="1"/>
  <c r="K617" i="1"/>
  <c r="J617" i="1"/>
  <c r="I617" i="1"/>
  <c r="H617" i="1"/>
  <c r="G617" i="1" s="1"/>
  <c r="O616" i="1"/>
  <c r="N616" i="1"/>
  <c r="M616" i="1"/>
  <c r="L616" i="1"/>
  <c r="K616" i="1"/>
  <c r="J616" i="1"/>
  <c r="I616" i="1"/>
  <c r="H616" i="1"/>
  <c r="G616" i="1" s="1"/>
  <c r="O615" i="1"/>
  <c r="N615" i="1"/>
  <c r="M615" i="1"/>
  <c r="L615" i="1"/>
  <c r="K615" i="1"/>
  <c r="J615" i="1"/>
  <c r="I615" i="1"/>
  <c r="H615" i="1"/>
  <c r="G615" i="1" s="1"/>
  <c r="O614" i="1"/>
  <c r="N614" i="1"/>
  <c r="M614" i="1"/>
  <c r="L614" i="1"/>
  <c r="K614" i="1"/>
  <c r="J614" i="1"/>
  <c r="I614" i="1"/>
  <c r="H614" i="1"/>
  <c r="G614" i="1" s="1"/>
  <c r="O613" i="1"/>
  <c r="N613" i="1"/>
  <c r="M613" i="1"/>
  <c r="L613" i="1"/>
  <c r="K613" i="1"/>
  <c r="J613" i="1"/>
  <c r="I613" i="1"/>
  <c r="H613" i="1"/>
  <c r="G613" i="1" s="1"/>
  <c r="O612" i="1"/>
  <c r="N612" i="1"/>
  <c r="M612" i="1"/>
  <c r="L612" i="1"/>
  <c r="K612" i="1"/>
  <c r="J612" i="1"/>
  <c r="I612" i="1"/>
  <c r="H612" i="1"/>
  <c r="G612" i="1" s="1"/>
  <c r="O611" i="1"/>
  <c r="N611" i="1"/>
  <c r="M611" i="1"/>
  <c r="L611" i="1"/>
  <c r="K611" i="1"/>
  <c r="J611" i="1"/>
  <c r="I611" i="1"/>
  <c r="H611" i="1"/>
  <c r="G611" i="1" s="1"/>
  <c r="O610" i="1"/>
  <c r="N610" i="1"/>
  <c r="M610" i="1"/>
  <c r="L610" i="1"/>
  <c r="K610" i="1"/>
  <c r="J610" i="1"/>
  <c r="I610" i="1"/>
  <c r="H610" i="1"/>
  <c r="G610" i="1" s="1"/>
  <c r="O609" i="1"/>
  <c r="N609" i="1"/>
  <c r="M609" i="1"/>
  <c r="L609" i="1"/>
  <c r="K609" i="1"/>
  <c r="J609" i="1"/>
  <c r="I609" i="1"/>
  <c r="H609" i="1"/>
  <c r="G609" i="1" s="1"/>
  <c r="O608" i="1"/>
  <c r="N608" i="1"/>
  <c r="M608" i="1"/>
  <c r="L608" i="1"/>
  <c r="K608" i="1"/>
  <c r="J608" i="1"/>
  <c r="I608" i="1"/>
  <c r="H608" i="1"/>
  <c r="G608" i="1" s="1"/>
  <c r="O607" i="1"/>
  <c r="N607" i="1"/>
  <c r="M607" i="1"/>
  <c r="L607" i="1"/>
  <c r="K607" i="1"/>
  <c r="J607" i="1"/>
  <c r="I607" i="1"/>
  <c r="H607" i="1"/>
  <c r="G607" i="1" s="1"/>
  <c r="O606" i="1"/>
  <c r="N606" i="1"/>
  <c r="M606" i="1"/>
  <c r="L606" i="1"/>
  <c r="K606" i="1"/>
  <c r="J606" i="1"/>
  <c r="I606" i="1"/>
  <c r="H606" i="1"/>
  <c r="G606" i="1" s="1"/>
  <c r="O605" i="1"/>
  <c r="N605" i="1"/>
  <c r="M605" i="1"/>
  <c r="L605" i="1"/>
  <c r="K605" i="1"/>
  <c r="J605" i="1"/>
  <c r="I605" i="1"/>
  <c r="H605" i="1"/>
  <c r="G605" i="1" s="1"/>
  <c r="O604" i="1"/>
  <c r="N604" i="1"/>
  <c r="M604" i="1"/>
  <c r="L604" i="1"/>
  <c r="K604" i="1"/>
  <c r="J604" i="1"/>
  <c r="I604" i="1"/>
  <c r="H604" i="1"/>
  <c r="G604" i="1" s="1"/>
  <c r="O603" i="1"/>
  <c r="N603" i="1"/>
  <c r="M603" i="1"/>
  <c r="L603" i="1"/>
  <c r="K603" i="1"/>
  <c r="J603" i="1"/>
  <c r="I603" i="1"/>
  <c r="H603" i="1"/>
  <c r="G603" i="1" s="1"/>
  <c r="O602" i="1"/>
  <c r="N602" i="1"/>
  <c r="M602" i="1"/>
  <c r="L602" i="1"/>
  <c r="K602" i="1"/>
  <c r="J602" i="1"/>
  <c r="I602" i="1"/>
  <c r="H602" i="1"/>
  <c r="G602" i="1" s="1"/>
  <c r="O601" i="1"/>
  <c r="N601" i="1"/>
  <c r="M601" i="1"/>
  <c r="L601" i="1"/>
  <c r="K601" i="1"/>
  <c r="J601" i="1"/>
  <c r="I601" i="1"/>
  <c r="H601" i="1"/>
  <c r="G601" i="1" s="1"/>
  <c r="O600" i="1"/>
  <c r="N600" i="1"/>
  <c r="M600" i="1"/>
  <c r="L600" i="1"/>
  <c r="K600" i="1"/>
  <c r="J600" i="1"/>
  <c r="I600" i="1"/>
  <c r="H600" i="1"/>
  <c r="G600" i="1" s="1"/>
  <c r="O599" i="1"/>
  <c r="N599" i="1"/>
  <c r="M599" i="1"/>
  <c r="L599" i="1"/>
  <c r="K599" i="1"/>
  <c r="J599" i="1"/>
  <c r="I599" i="1"/>
  <c r="H599" i="1"/>
  <c r="G599" i="1" s="1"/>
  <c r="O598" i="1"/>
  <c r="N598" i="1"/>
  <c r="M598" i="1"/>
  <c r="L598" i="1"/>
  <c r="K598" i="1"/>
  <c r="J598" i="1"/>
  <c r="I598" i="1"/>
  <c r="H598" i="1"/>
  <c r="G598" i="1" s="1"/>
  <c r="O597" i="1"/>
  <c r="N597" i="1"/>
  <c r="M597" i="1"/>
  <c r="L597" i="1"/>
  <c r="K597" i="1"/>
  <c r="J597" i="1"/>
  <c r="I597" i="1"/>
  <c r="H597" i="1"/>
  <c r="G597" i="1" s="1"/>
  <c r="O596" i="1"/>
  <c r="N596" i="1"/>
  <c r="M596" i="1"/>
  <c r="L596" i="1"/>
  <c r="K596" i="1"/>
  <c r="J596" i="1"/>
  <c r="I596" i="1"/>
  <c r="H596" i="1"/>
  <c r="G596" i="1" s="1"/>
  <c r="O595" i="1"/>
  <c r="N595" i="1"/>
  <c r="M595" i="1"/>
  <c r="L595" i="1"/>
  <c r="K595" i="1"/>
  <c r="J595" i="1"/>
  <c r="I595" i="1"/>
  <c r="H595" i="1"/>
  <c r="G595" i="1" s="1"/>
  <c r="O594" i="1"/>
  <c r="N594" i="1"/>
  <c r="M594" i="1"/>
  <c r="L594" i="1"/>
  <c r="K594" i="1"/>
  <c r="J594" i="1"/>
  <c r="I594" i="1"/>
  <c r="H594" i="1"/>
  <c r="G594" i="1" s="1"/>
  <c r="O593" i="1"/>
  <c r="N593" i="1"/>
  <c r="M593" i="1"/>
  <c r="L593" i="1"/>
  <c r="K593" i="1"/>
  <c r="J593" i="1"/>
  <c r="I593" i="1"/>
  <c r="H593" i="1"/>
  <c r="G593" i="1" s="1"/>
  <c r="O592" i="1"/>
  <c r="N592" i="1"/>
  <c r="M592" i="1"/>
  <c r="L592" i="1"/>
  <c r="K592" i="1"/>
  <c r="J592" i="1"/>
  <c r="I592" i="1"/>
  <c r="H592" i="1"/>
  <c r="G592" i="1" s="1"/>
  <c r="O591" i="1"/>
  <c r="N591" i="1"/>
  <c r="M591" i="1"/>
  <c r="L591" i="1"/>
  <c r="K591" i="1"/>
  <c r="J591" i="1"/>
  <c r="I591" i="1"/>
  <c r="H591" i="1"/>
  <c r="G591" i="1" s="1"/>
  <c r="O590" i="1"/>
  <c r="N590" i="1"/>
  <c r="M590" i="1"/>
  <c r="L590" i="1"/>
  <c r="K590" i="1"/>
  <c r="J590" i="1"/>
  <c r="I590" i="1"/>
  <c r="H590" i="1"/>
  <c r="G590" i="1" s="1"/>
  <c r="O589" i="1"/>
  <c r="N589" i="1"/>
  <c r="M589" i="1"/>
  <c r="L589" i="1"/>
  <c r="K589" i="1"/>
  <c r="J589" i="1"/>
  <c r="I589" i="1"/>
  <c r="H589" i="1"/>
  <c r="G589" i="1" s="1"/>
  <c r="O588" i="1"/>
  <c r="N588" i="1"/>
  <c r="M588" i="1"/>
  <c r="L588" i="1"/>
  <c r="K588" i="1"/>
  <c r="J588" i="1"/>
  <c r="I588" i="1"/>
  <c r="H588" i="1"/>
  <c r="G588" i="1" s="1"/>
  <c r="O587" i="1"/>
  <c r="N587" i="1"/>
  <c r="M587" i="1"/>
  <c r="L587" i="1"/>
  <c r="K587" i="1"/>
  <c r="J587" i="1"/>
  <c r="I587" i="1"/>
  <c r="H587" i="1"/>
  <c r="G587" i="1" s="1"/>
  <c r="O586" i="1"/>
  <c r="N586" i="1"/>
  <c r="M586" i="1"/>
  <c r="L586" i="1"/>
  <c r="K586" i="1"/>
  <c r="J586" i="1"/>
  <c r="I586" i="1"/>
  <c r="H586" i="1"/>
  <c r="G586" i="1" s="1"/>
  <c r="O585" i="1"/>
  <c r="N585" i="1"/>
  <c r="M585" i="1"/>
  <c r="L585" i="1"/>
  <c r="K585" i="1"/>
  <c r="J585" i="1"/>
  <c r="I585" i="1"/>
  <c r="H585" i="1"/>
  <c r="G585" i="1" s="1"/>
  <c r="O584" i="1"/>
  <c r="N584" i="1"/>
  <c r="M584" i="1"/>
  <c r="L584" i="1"/>
  <c r="K584" i="1"/>
  <c r="J584" i="1"/>
  <c r="I584" i="1"/>
  <c r="H584" i="1"/>
  <c r="G584" i="1" s="1"/>
  <c r="O583" i="1"/>
  <c r="N583" i="1"/>
  <c r="M583" i="1"/>
  <c r="L583" i="1"/>
  <c r="K583" i="1"/>
  <c r="J583" i="1"/>
  <c r="I583" i="1"/>
  <c r="H583" i="1"/>
  <c r="G583" i="1" s="1"/>
  <c r="O582" i="1"/>
  <c r="N582" i="1"/>
  <c r="M582" i="1"/>
  <c r="L582" i="1"/>
  <c r="K582" i="1"/>
  <c r="J582" i="1"/>
  <c r="I582" i="1"/>
  <c r="H582" i="1"/>
  <c r="G582" i="1" s="1"/>
  <c r="O581" i="1"/>
  <c r="N581" i="1"/>
  <c r="M581" i="1"/>
  <c r="L581" i="1"/>
  <c r="K581" i="1"/>
  <c r="J581" i="1"/>
  <c r="I581" i="1"/>
  <c r="H581" i="1"/>
  <c r="G581" i="1" s="1"/>
  <c r="O580" i="1"/>
  <c r="N580" i="1"/>
  <c r="M580" i="1"/>
  <c r="L580" i="1"/>
  <c r="K580" i="1"/>
  <c r="J580" i="1"/>
  <c r="I580" i="1"/>
  <c r="H580" i="1"/>
  <c r="G580" i="1" s="1"/>
  <c r="O579" i="1"/>
  <c r="N579" i="1"/>
  <c r="M579" i="1"/>
  <c r="L579" i="1"/>
  <c r="K579" i="1"/>
  <c r="J579" i="1"/>
  <c r="I579" i="1"/>
  <c r="H579" i="1"/>
  <c r="G579" i="1" s="1"/>
  <c r="O578" i="1"/>
  <c r="N578" i="1"/>
  <c r="M578" i="1"/>
  <c r="L578" i="1"/>
  <c r="K578" i="1"/>
  <c r="J578" i="1"/>
  <c r="I578" i="1"/>
  <c r="H578" i="1"/>
  <c r="G578" i="1" s="1"/>
  <c r="O577" i="1"/>
  <c r="N577" i="1"/>
  <c r="M577" i="1"/>
  <c r="L577" i="1"/>
  <c r="K577" i="1"/>
  <c r="J577" i="1"/>
  <c r="I577" i="1"/>
  <c r="H577" i="1"/>
  <c r="G577" i="1" s="1"/>
  <c r="O576" i="1"/>
  <c r="N576" i="1"/>
  <c r="M576" i="1"/>
  <c r="L576" i="1"/>
  <c r="K576" i="1"/>
  <c r="J576" i="1"/>
  <c r="I576" i="1"/>
  <c r="H576" i="1"/>
  <c r="G576" i="1" s="1"/>
  <c r="O575" i="1"/>
  <c r="N575" i="1"/>
  <c r="M575" i="1"/>
  <c r="L575" i="1"/>
  <c r="K575" i="1"/>
  <c r="J575" i="1"/>
  <c r="I575" i="1"/>
  <c r="H575" i="1"/>
  <c r="G575" i="1" s="1"/>
  <c r="O574" i="1"/>
  <c r="N574" i="1"/>
  <c r="M574" i="1"/>
  <c r="L574" i="1"/>
  <c r="K574" i="1"/>
  <c r="J574" i="1"/>
  <c r="I574" i="1"/>
  <c r="H574" i="1"/>
  <c r="G574" i="1" s="1"/>
  <c r="O573" i="1"/>
  <c r="N573" i="1"/>
  <c r="M573" i="1"/>
  <c r="L573" i="1"/>
  <c r="K573" i="1"/>
  <c r="J573" i="1"/>
  <c r="I573" i="1"/>
  <c r="H573" i="1"/>
  <c r="G573" i="1" s="1"/>
  <c r="O572" i="1"/>
  <c r="N572" i="1"/>
  <c r="M572" i="1"/>
  <c r="L572" i="1"/>
  <c r="K572" i="1"/>
  <c r="J572" i="1"/>
  <c r="I572" i="1"/>
  <c r="H572" i="1"/>
  <c r="G572" i="1" s="1"/>
  <c r="O571" i="1"/>
  <c r="N571" i="1"/>
  <c r="M571" i="1"/>
  <c r="L571" i="1"/>
  <c r="K571" i="1"/>
  <c r="J571" i="1"/>
  <c r="I571" i="1"/>
  <c r="H571" i="1"/>
  <c r="G571" i="1" s="1"/>
  <c r="O570" i="1"/>
  <c r="N570" i="1"/>
  <c r="M570" i="1"/>
  <c r="L570" i="1"/>
  <c r="K570" i="1"/>
  <c r="J570" i="1"/>
  <c r="I570" i="1"/>
  <c r="H570" i="1"/>
  <c r="G570" i="1" s="1"/>
  <c r="O569" i="1"/>
  <c r="N569" i="1"/>
  <c r="M569" i="1"/>
  <c r="L569" i="1"/>
  <c r="K569" i="1"/>
  <c r="J569" i="1"/>
  <c r="I569" i="1"/>
  <c r="H569" i="1"/>
  <c r="G569" i="1" s="1"/>
  <c r="O568" i="1"/>
  <c r="N568" i="1"/>
  <c r="M568" i="1"/>
  <c r="L568" i="1"/>
  <c r="K568" i="1"/>
  <c r="J568" i="1"/>
  <c r="I568" i="1"/>
  <c r="H568" i="1"/>
  <c r="G568" i="1" s="1"/>
  <c r="O567" i="1"/>
  <c r="N567" i="1"/>
  <c r="M567" i="1"/>
  <c r="L567" i="1"/>
  <c r="K567" i="1"/>
  <c r="J567" i="1"/>
  <c r="I567" i="1"/>
  <c r="H567" i="1"/>
  <c r="G567" i="1" s="1"/>
  <c r="O566" i="1"/>
  <c r="N566" i="1"/>
  <c r="M566" i="1"/>
  <c r="L566" i="1"/>
  <c r="K566" i="1"/>
  <c r="J566" i="1"/>
  <c r="I566" i="1"/>
  <c r="H566" i="1"/>
  <c r="G566" i="1" s="1"/>
  <c r="O565" i="1"/>
  <c r="N565" i="1"/>
  <c r="M565" i="1"/>
  <c r="L565" i="1"/>
  <c r="K565" i="1"/>
  <c r="J565" i="1"/>
  <c r="I565" i="1"/>
  <c r="H565" i="1"/>
  <c r="G565" i="1" s="1"/>
  <c r="O564" i="1"/>
  <c r="N564" i="1"/>
  <c r="M564" i="1"/>
  <c r="L564" i="1"/>
  <c r="K564" i="1"/>
  <c r="J564" i="1"/>
  <c r="I564" i="1"/>
  <c r="H564" i="1"/>
  <c r="G564" i="1" s="1"/>
  <c r="O563" i="1"/>
  <c r="N563" i="1"/>
  <c r="M563" i="1"/>
  <c r="L563" i="1"/>
  <c r="K563" i="1"/>
  <c r="J563" i="1"/>
  <c r="I563" i="1"/>
  <c r="H563" i="1"/>
  <c r="G563" i="1" s="1"/>
  <c r="O562" i="1"/>
  <c r="N562" i="1"/>
  <c r="M562" i="1"/>
  <c r="L562" i="1"/>
  <c r="K562" i="1"/>
  <c r="J562" i="1"/>
  <c r="I562" i="1"/>
  <c r="H562" i="1"/>
  <c r="G562" i="1" s="1"/>
  <c r="O561" i="1"/>
  <c r="N561" i="1"/>
  <c r="M561" i="1"/>
  <c r="L561" i="1"/>
  <c r="K561" i="1"/>
  <c r="J561" i="1"/>
  <c r="I561" i="1"/>
  <c r="H561" i="1"/>
  <c r="G561" i="1" s="1"/>
  <c r="O560" i="1"/>
  <c r="N560" i="1"/>
  <c r="M560" i="1"/>
  <c r="L560" i="1"/>
  <c r="K560" i="1"/>
  <c r="J560" i="1"/>
  <c r="I560" i="1"/>
  <c r="H560" i="1"/>
  <c r="G560" i="1" s="1"/>
  <c r="O559" i="1"/>
  <c r="N559" i="1"/>
  <c r="M559" i="1"/>
  <c r="L559" i="1"/>
  <c r="K559" i="1"/>
  <c r="J559" i="1"/>
  <c r="I559" i="1"/>
  <c r="H559" i="1"/>
  <c r="G559" i="1" s="1"/>
  <c r="O558" i="1"/>
  <c r="N558" i="1"/>
  <c r="M558" i="1"/>
  <c r="L558" i="1"/>
  <c r="K558" i="1"/>
  <c r="J558" i="1"/>
  <c r="I558" i="1"/>
  <c r="H558" i="1"/>
  <c r="G558" i="1" s="1"/>
  <c r="O557" i="1"/>
  <c r="N557" i="1"/>
  <c r="M557" i="1"/>
  <c r="L557" i="1"/>
  <c r="K557" i="1"/>
  <c r="J557" i="1"/>
  <c r="I557" i="1"/>
  <c r="H557" i="1"/>
  <c r="G557" i="1" s="1"/>
  <c r="O556" i="1"/>
  <c r="N556" i="1"/>
  <c r="M556" i="1"/>
  <c r="L556" i="1"/>
  <c r="K556" i="1"/>
  <c r="J556" i="1"/>
  <c r="I556" i="1"/>
  <c r="H556" i="1"/>
  <c r="G556" i="1" s="1"/>
  <c r="O555" i="1"/>
  <c r="N555" i="1"/>
  <c r="M555" i="1"/>
  <c r="L555" i="1"/>
  <c r="K555" i="1"/>
  <c r="J555" i="1"/>
  <c r="I555" i="1"/>
  <c r="H555" i="1"/>
  <c r="G555" i="1" s="1"/>
  <c r="O554" i="1"/>
  <c r="N554" i="1"/>
  <c r="M554" i="1"/>
  <c r="L554" i="1"/>
  <c r="K554" i="1"/>
  <c r="J554" i="1"/>
  <c r="I554" i="1"/>
  <c r="H554" i="1"/>
  <c r="G554" i="1" s="1"/>
  <c r="O553" i="1"/>
  <c r="N553" i="1"/>
  <c r="M553" i="1"/>
  <c r="L553" i="1"/>
  <c r="K553" i="1"/>
  <c r="J553" i="1"/>
  <c r="I553" i="1"/>
  <c r="H553" i="1"/>
  <c r="G553" i="1" s="1"/>
  <c r="O552" i="1"/>
  <c r="N552" i="1"/>
  <c r="M552" i="1"/>
  <c r="L552" i="1"/>
  <c r="K552" i="1"/>
  <c r="J552" i="1"/>
  <c r="I552" i="1"/>
  <c r="H552" i="1"/>
  <c r="G552" i="1" s="1"/>
  <c r="O551" i="1"/>
  <c r="N551" i="1"/>
  <c r="M551" i="1"/>
  <c r="L551" i="1"/>
  <c r="K551" i="1"/>
  <c r="J551" i="1"/>
  <c r="I551" i="1"/>
  <c r="H551" i="1"/>
  <c r="G551" i="1" s="1"/>
  <c r="O550" i="1"/>
  <c r="N550" i="1"/>
  <c r="M550" i="1"/>
  <c r="L550" i="1"/>
  <c r="K550" i="1"/>
  <c r="J550" i="1"/>
  <c r="I550" i="1"/>
  <c r="H550" i="1"/>
  <c r="G550" i="1" s="1"/>
  <c r="O549" i="1"/>
  <c r="N549" i="1"/>
  <c r="M549" i="1"/>
  <c r="L549" i="1"/>
  <c r="K549" i="1"/>
  <c r="J549" i="1"/>
  <c r="I549" i="1"/>
  <c r="H549" i="1"/>
  <c r="G549" i="1" s="1"/>
  <c r="O548" i="1"/>
  <c r="N548" i="1"/>
  <c r="M548" i="1"/>
  <c r="L548" i="1"/>
  <c r="K548" i="1"/>
  <c r="J548" i="1"/>
  <c r="I548" i="1"/>
  <c r="H548" i="1"/>
  <c r="G548" i="1" s="1"/>
  <c r="O547" i="1"/>
  <c r="N547" i="1"/>
  <c r="M547" i="1"/>
  <c r="L547" i="1"/>
  <c r="K547" i="1"/>
  <c r="J547" i="1"/>
  <c r="I547" i="1"/>
  <c r="H547" i="1"/>
  <c r="G547" i="1" s="1"/>
  <c r="O546" i="1"/>
  <c r="N546" i="1"/>
  <c r="M546" i="1"/>
  <c r="L546" i="1"/>
  <c r="K546" i="1"/>
  <c r="J546" i="1"/>
  <c r="I546" i="1"/>
  <c r="H546" i="1"/>
  <c r="G546" i="1" s="1"/>
  <c r="O545" i="1"/>
  <c r="N545" i="1"/>
  <c r="M545" i="1"/>
  <c r="L545" i="1"/>
  <c r="K545" i="1"/>
  <c r="J545" i="1"/>
  <c r="I545" i="1"/>
  <c r="H545" i="1"/>
  <c r="G545" i="1" s="1"/>
  <c r="O544" i="1"/>
  <c r="N544" i="1"/>
  <c r="M544" i="1"/>
  <c r="L544" i="1"/>
  <c r="K544" i="1"/>
  <c r="J544" i="1"/>
  <c r="I544" i="1"/>
  <c r="H544" i="1"/>
  <c r="G544" i="1" s="1"/>
  <c r="O543" i="1"/>
  <c r="N543" i="1"/>
  <c r="M543" i="1"/>
  <c r="L543" i="1"/>
  <c r="K543" i="1"/>
  <c r="J543" i="1"/>
  <c r="I543" i="1"/>
  <c r="H543" i="1"/>
  <c r="G543" i="1" s="1"/>
  <c r="O542" i="1"/>
  <c r="N542" i="1"/>
  <c r="M542" i="1"/>
  <c r="L542" i="1"/>
  <c r="K542" i="1"/>
  <c r="J542" i="1"/>
  <c r="I542" i="1"/>
  <c r="H542" i="1"/>
  <c r="G542" i="1" s="1"/>
  <c r="O541" i="1"/>
  <c r="N541" i="1"/>
  <c r="M541" i="1"/>
  <c r="L541" i="1"/>
  <c r="K541" i="1"/>
  <c r="J541" i="1"/>
  <c r="I541" i="1"/>
  <c r="H541" i="1"/>
  <c r="G541" i="1" s="1"/>
  <c r="O540" i="1"/>
  <c r="N540" i="1"/>
  <c r="M540" i="1"/>
  <c r="L540" i="1"/>
  <c r="K540" i="1"/>
  <c r="J540" i="1"/>
  <c r="I540" i="1"/>
  <c r="H540" i="1"/>
  <c r="G540" i="1" s="1"/>
  <c r="O539" i="1"/>
  <c r="N539" i="1"/>
  <c r="M539" i="1"/>
  <c r="L539" i="1"/>
  <c r="K539" i="1"/>
  <c r="J539" i="1"/>
  <c r="I539" i="1"/>
  <c r="H539" i="1"/>
  <c r="G539" i="1" s="1"/>
  <c r="O538" i="1"/>
  <c r="N538" i="1"/>
  <c r="M538" i="1"/>
  <c r="L538" i="1"/>
  <c r="K538" i="1"/>
  <c r="J538" i="1"/>
  <c r="I538" i="1"/>
  <c r="H538" i="1"/>
  <c r="G538" i="1" s="1"/>
  <c r="O537" i="1"/>
  <c r="N537" i="1"/>
  <c r="M537" i="1"/>
  <c r="L537" i="1"/>
  <c r="K537" i="1"/>
  <c r="J537" i="1"/>
  <c r="I537" i="1"/>
  <c r="H537" i="1"/>
  <c r="G537" i="1" s="1"/>
  <c r="O536" i="1"/>
  <c r="N536" i="1"/>
  <c r="M536" i="1"/>
  <c r="L536" i="1"/>
  <c r="K536" i="1"/>
  <c r="J536" i="1"/>
  <c r="I536" i="1"/>
  <c r="H536" i="1"/>
  <c r="G536" i="1" s="1"/>
  <c r="O535" i="1"/>
  <c r="N535" i="1"/>
  <c r="M535" i="1"/>
  <c r="L535" i="1"/>
  <c r="K535" i="1"/>
  <c r="J535" i="1"/>
  <c r="I535" i="1"/>
  <c r="H535" i="1"/>
  <c r="G535" i="1" s="1"/>
  <c r="O534" i="1"/>
  <c r="N534" i="1"/>
  <c r="M534" i="1"/>
  <c r="L534" i="1"/>
  <c r="K534" i="1"/>
  <c r="J534" i="1"/>
  <c r="I534" i="1"/>
  <c r="H534" i="1"/>
  <c r="G534" i="1" s="1"/>
  <c r="O533" i="1"/>
  <c r="N533" i="1"/>
  <c r="M533" i="1"/>
  <c r="L533" i="1"/>
  <c r="K533" i="1"/>
  <c r="J533" i="1"/>
  <c r="I533" i="1"/>
  <c r="H533" i="1"/>
  <c r="G533" i="1" s="1"/>
  <c r="O532" i="1"/>
  <c r="N532" i="1"/>
  <c r="M532" i="1"/>
  <c r="L532" i="1"/>
  <c r="K532" i="1"/>
  <c r="J532" i="1"/>
  <c r="I532" i="1"/>
  <c r="H532" i="1"/>
  <c r="G532" i="1" s="1"/>
  <c r="O531" i="1"/>
  <c r="N531" i="1"/>
  <c r="M531" i="1"/>
  <c r="L531" i="1"/>
  <c r="K531" i="1"/>
  <c r="J531" i="1"/>
  <c r="I531" i="1"/>
  <c r="H531" i="1"/>
  <c r="G531" i="1" s="1"/>
  <c r="O530" i="1"/>
  <c r="N530" i="1"/>
  <c r="M530" i="1"/>
  <c r="L530" i="1"/>
  <c r="K530" i="1"/>
  <c r="J530" i="1"/>
  <c r="I530" i="1"/>
  <c r="H530" i="1"/>
  <c r="G530" i="1" s="1"/>
  <c r="O529" i="1"/>
  <c r="N529" i="1"/>
  <c r="M529" i="1"/>
  <c r="L529" i="1"/>
  <c r="K529" i="1"/>
  <c r="J529" i="1"/>
  <c r="I529" i="1"/>
  <c r="H529" i="1"/>
  <c r="G529" i="1" s="1"/>
  <c r="O528" i="1"/>
  <c r="N528" i="1"/>
  <c r="M528" i="1"/>
  <c r="L528" i="1"/>
  <c r="K528" i="1"/>
  <c r="J528" i="1"/>
  <c r="I528" i="1"/>
  <c r="H528" i="1"/>
  <c r="G528" i="1" s="1"/>
  <c r="O527" i="1"/>
  <c r="N527" i="1"/>
  <c r="M527" i="1"/>
  <c r="L527" i="1"/>
  <c r="K527" i="1"/>
  <c r="J527" i="1"/>
  <c r="I527" i="1"/>
  <c r="H527" i="1"/>
  <c r="G527" i="1" s="1"/>
  <c r="O526" i="1"/>
  <c r="N526" i="1"/>
  <c r="M526" i="1"/>
  <c r="L526" i="1"/>
  <c r="K526" i="1"/>
  <c r="J526" i="1"/>
  <c r="I526" i="1"/>
  <c r="H526" i="1"/>
  <c r="G526" i="1" s="1"/>
  <c r="O525" i="1"/>
  <c r="N525" i="1"/>
  <c r="M525" i="1"/>
  <c r="L525" i="1"/>
  <c r="K525" i="1"/>
  <c r="J525" i="1"/>
  <c r="I525" i="1"/>
  <c r="H525" i="1"/>
  <c r="G525" i="1" s="1"/>
  <c r="O524" i="1"/>
  <c r="N524" i="1"/>
  <c r="M524" i="1"/>
  <c r="L524" i="1"/>
  <c r="K524" i="1"/>
  <c r="J524" i="1"/>
  <c r="I524" i="1"/>
  <c r="H524" i="1"/>
  <c r="G524" i="1" s="1"/>
  <c r="O523" i="1"/>
  <c r="N523" i="1"/>
  <c r="M523" i="1"/>
  <c r="L523" i="1"/>
  <c r="K523" i="1"/>
  <c r="J523" i="1"/>
  <c r="I523" i="1"/>
  <c r="H523" i="1"/>
  <c r="G523" i="1" s="1"/>
  <c r="O522" i="1"/>
  <c r="N522" i="1"/>
  <c r="M522" i="1"/>
  <c r="L522" i="1"/>
  <c r="K522" i="1"/>
  <c r="J522" i="1"/>
  <c r="I522" i="1"/>
  <c r="H522" i="1"/>
  <c r="G522" i="1" s="1"/>
  <c r="O521" i="1"/>
  <c r="N521" i="1"/>
  <c r="M521" i="1"/>
  <c r="L521" i="1"/>
  <c r="K521" i="1"/>
  <c r="J521" i="1"/>
  <c r="I521" i="1"/>
  <c r="H521" i="1"/>
  <c r="G521" i="1" s="1"/>
  <c r="O520" i="1"/>
  <c r="N520" i="1"/>
  <c r="M520" i="1"/>
  <c r="L520" i="1"/>
  <c r="K520" i="1"/>
  <c r="J520" i="1"/>
  <c r="I520" i="1"/>
  <c r="H520" i="1"/>
  <c r="G520" i="1" s="1"/>
  <c r="O519" i="1"/>
  <c r="N519" i="1"/>
  <c r="M519" i="1"/>
  <c r="L519" i="1"/>
  <c r="K519" i="1"/>
  <c r="J519" i="1"/>
  <c r="I519" i="1"/>
  <c r="H519" i="1"/>
  <c r="G519" i="1" s="1"/>
  <c r="O518" i="1"/>
  <c r="N518" i="1"/>
  <c r="M518" i="1"/>
  <c r="L518" i="1"/>
  <c r="K518" i="1"/>
  <c r="J518" i="1"/>
  <c r="I518" i="1"/>
  <c r="H518" i="1"/>
  <c r="G518" i="1" s="1"/>
  <c r="O517" i="1"/>
  <c r="N517" i="1"/>
  <c r="M517" i="1"/>
  <c r="L517" i="1"/>
  <c r="K517" i="1"/>
  <c r="J517" i="1"/>
  <c r="I517" i="1"/>
  <c r="H517" i="1"/>
  <c r="G517" i="1" s="1"/>
  <c r="O516" i="1"/>
  <c r="N516" i="1"/>
  <c r="M516" i="1"/>
  <c r="L516" i="1"/>
  <c r="K516" i="1"/>
  <c r="J516" i="1"/>
  <c r="I516" i="1"/>
  <c r="H516" i="1"/>
  <c r="G516" i="1" s="1"/>
  <c r="O515" i="1"/>
  <c r="N515" i="1"/>
  <c r="M515" i="1"/>
  <c r="L515" i="1"/>
  <c r="K515" i="1"/>
  <c r="J515" i="1"/>
  <c r="I515" i="1"/>
  <c r="H515" i="1"/>
  <c r="G515" i="1" s="1"/>
  <c r="O514" i="1"/>
  <c r="N514" i="1"/>
  <c r="M514" i="1"/>
  <c r="L514" i="1"/>
  <c r="K514" i="1"/>
  <c r="J514" i="1"/>
  <c r="I514" i="1"/>
  <c r="H514" i="1"/>
  <c r="G514" i="1" s="1"/>
  <c r="O513" i="1"/>
  <c r="N513" i="1"/>
  <c r="M513" i="1"/>
  <c r="L513" i="1"/>
  <c r="K513" i="1"/>
  <c r="J513" i="1"/>
  <c r="I513" i="1"/>
  <c r="H513" i="1"/>
  <c r="G513" i="1" s="1"/>
  <c r="O512" i="1"/>
  <c r="N512" i="1"/>
  <c r="M512" i="1"/>
  <c r="L512" i="1"/>
  <c r="K512" i="1"/>
  <c r="J512" i="1"/>
  <c r="I512" i="1"/>
  <c r="H512" i="1"/>
  <c r="G512" i="1" s="1"/>
  <c r="O511" i="1"/>
  <c r="N511" i="1"/>
  <c r="M511" i="1"/>
  <c r="L511" i="1"/>
  <c r="K511" i="1"/>
  <c r="J511" i="1"/>
  <c r="I511" i="1"/>
  <c r="H511" i="1"/>
  <c r="G511" i="1" s="1"/>
  <c r="O510" i="1"/>
  <c r="N510" i="1"/>
  <c r="M510" i="1"/>
  <c r="L510" i="1"/>
  <c r="K510" i="1"/>
  <c r="J510" i="1"/>
  <c r="I510" i="1"/>
  <c r="H510" i="1"/>
  <c r="G510" i="1" s="1"/>
  <c r="O509" i="1"/>
  <c r="N509" i="1"/>
  <c r="M509" i="1"/>
  <c r="L509" i="1"/>
  <c r="K509" i="1"/>
  <c r="J509" i="1"/>
  <c r="I509" i="1"/>
  <c r="H509" i="1"/>
  <c r="G509" i="1" s="1"/>
  <c r="O508" i="1"/>
  <c r="N508" i="1"/>
  <c r="M508" i="1"/>
  <c r="L508" i="1"/>
  <c r="K508" i="1"/>
  <c r="J508" i="1"/>
  <c r="I508" i="1"/>
  <c r="H508" i="1"/>
  <c r="G508" i="1" s="1"/>
  <c r="O507" i="1"/>
  <c r="N507" i="1"/>
  <c r="M507" i="1"/>
  <c r="L507" i="1"/>
  <c r="K507" i="1"/>
  <c r="J507" i="1"/>
  <c r="I507" i="1"/>
  <c r="H507" i="1"/>
  <c r="G507" i="1" s="1"/>
  <c r="O506" i="1"/>
  <c r="N506" i="1"/>
  <c r="M506" i="1"/>
  <c r="L506" i="1"/>
  <c r="K506" i="1"/>
  <c r="J506" i="1"/>
  <c r="I506" i="1"/>
  <c r="H506" i="1"/>
  <c r="G506" i="1" s="1"/>
  <c r="O505" i="1"/>
  <c r="N505" i="1"/>
  <c r="M505" i="1"/>
  <c r="L505" i="1"/>
  <c r="K505" i="1"/>
  <c r="J505" i="1"/>
  <c r="I505" i="1"/>
  <c r="H505" i="1"/>
  <c r="G505" i="1" s="1"/>
  <c r="O504" i="1"/>
  <c r="N504" i="1"/>
  <c r="M504" i="1"/>
  <c r="L504" i="1"/>
  <c r="K504" i="1"/>
  <c r="J504" i="1"/>
  <c r="I504" i="1"/>
  <c r="H504" i="1"/>
  <c r="G504" i="1" s="1"/>
  <c r="O503" i="1"/>
  <c r="N503" i="1"/>
  <c r="M503" i="1"/>
  <c r="L503" i="1"/>
  <c r="K503" i="1"/>
  <c r="J503" i="1"/>
  <c r="I503" i="1"/>
  <c r="H503" i="1"/>
  <c r="G503" i="1" s="1"/>
  <c r="O502" i="1"/>
  <c r="N502" i="1"/>
  <c r="M502" i="1"/>
  <c r="L502" i="1"/>
  <c r="K502" i="1"/>
  <c r="J502" i="1"/>
  <c r="I502" i="1"/>
  <c r="H502" i="1"/>
  <c r="G502" i="1" s="1"/>
  <c r="O501" i="1"/>
  <c r="N501" i="1"/>
  <c r="M501" i="1"/>
  <c r="L501" i="1"/>
  <c r="K501" i="1"/>
  <c r="J501" i="1"/>
  <c r="I501" i="1"/>
  <c r="H501" i="1"/>
  <c r="G501" i="1" s="1"/>
  <c r="O500" i="1"/>
  <c r="N500" i="1"/>
  <c r="M500" i="1"/>
  <c r="L500" i="1"/>
  <c r="K500" i="1"/>
  <c r="J500" i="1"/>
  <c r="I500" i="1"/>
  <c r="H500" i="1"/>
  <c r="G500" i="1" s="1"/>
  <c r="O499" i="1"/>
  <c r="N499" i="1"/>
  <c r="M499" i="1"/>
  <c r="L499" i="1"/>
  <c r="K499" i="1"/>
  <c r="J499" i="1"/>
  <c r="I499" i="1"/>
  <c r="H499" i="1"/>
  <c r="G499" i="1" s="1"/>
  <c r="O498" i="1"/>
  <c r="N498" i="1"/>
  <c r="M498" i="1"/>
  <c r="L498" i="1"/>
  <c r="K498" i="1"/>
  <c r="J498" i="1"/>
  <c r="I498" i="1"/>
  <c r="H498" i="1"/>
  <c r="G498" i="1" s="1"/>
  <c r="O497" i="1"/>
  <c r="N497" i="1"/>
  <c r="M497" i="1"/>
  <c r="L497" i="1"/>
  <c r="K497" i="1"/>
  <c r="J497" i="1"/>
  <c r="I497" i="1"/>
  <c r="H497" i="1"/>
  <c r="G497" i="1" s="1"/>
  <c r="O496" i="1"/>
  <c r="N496" i="1"/>
  <c r="M496" i="1"/>
  <c r="L496" i="1"/>
  <c r="K496" i="1"/>
  <c r="J496" i="1"/>
  <c r="I496" i="1"/>
  <c r="H496" i="1"/>
  <c r="G496" i="1" s="1"/>
  <c r="O495" i="1"/>
  <c r="N495" i="1"/>
  <c r="M495" i="1"/>
  <c r="L495" i="1"/>
  <c r="K495" i="1"/>
  <c r="J495" i="1"/>
  <c r="I495" i="1"/>
  <c r="H495" i="1"/>
  <c r="G495" i="1" s="1"/>
  <c r="O494" i="1"/>
  <c r="N494" i="1"/>
  <c r="M494" i="1"/>
  <c r="L494" i="1"/>
  <c r="K494" i="1"/>
  <c r="J494" i="1"/>
  <c r="I494" i="1"/>
  <c r="H494" i="1"/>
  <c r="G494" i="1" s="1"/>
  <c r="O493" i="1"/>
  <c r="N493" i="1"/>
  <c r="M493" i="1"/>
  <c r="L493" i="1"/>
  <c r="K493" i="1"/>
  <c r="J493" i="1"/>
  <c r="I493" i="1"/>
  <c r="H493" i="1"/>
  <c r="G493" i="1" s="1"/>
  <c r="O492" i="1"/>
  <c r="N492" i="1"/>
  <c r="M492" i="1"/>
  <c r="L492" i="1"/>
  <c r="K492" i="1"/>
  <c r="J492" i="1"/>
  <c r="I492" i="1"/>
  <c r="H492" i="1"/>
  <c r="G492" i="1" s="1"/>
  <c r="O491" i="1"/>
  <c r="N491" i="1"/>
  <c r="M491" i="1"/>
  <c r="L491" i="1"/>
  <c r="K491" i="1"/>
  <c r="J491" i="1"/>
  <c r="I491" i="1"/>
  <c r="H491" i="1"/>
  <c r="G491" i="1" s="1"/>
  <c r="O490" i="1"/>
  <c r="N490" i="1"/>
  <c r="M490" i="1"/>
  <c r="L490" i="1"/>
  <c r="K490" i="1"/>
  <c r="J490" i="1"/>
  <c r="I490" i="1"/>
  <c r="H490" i="1"/>
  <c r="G490" i="1" s="1"/>
  <c r="O489" i="1"/>
  <c r="N489" i="1"/>
  <c r="M489" i="1"/>
  <c r="L489" i="1"/>
  <c r="K489" i="1"/>
  <c r="J489" i="1"/>
  <c r="I489" i="1"/>
  <c r="H489" i="1"/>
  <c r="G489" i="1" s="1"/>
  <c r="O488" i="1"/>
  <c r="N488" i="1"/>
  <c r="M488" i="1"/>
  <c r="L488" i="1"/>
  <c r="K488" i="1"/>
  <c r="J488" i="1"/>
  <c r="I488" i="1"/>
  <c r="H488" i="1"/>
  <c r="G488" i="1" s="1"/>
  <c r="O487" i="1"/>
  <c r="N487" i="1"/>
  <c r="M487" i="1"/>
  <c r="L487" i="1"/>
  <c r="K487" i="1"/>
  <c r="J487" i="1"/>
  <c r="I487" i="1"/>
  <c r="H487" i="1"/>
  <c r="G487" i="1" s="1"/>
  <c r="O486" i="1"/>
  <c r="N486" i="1"/>
  <c r="M486" i="1"/>
  <c r="L486" i="1"/>
  <c r="K486" i="1"/>
  <c r="J486" i="1"/>
  <c r="I486" i="1"/>
  <c r="H486" i="1"/>
  <c r="G486" i="1" s="1"/>
  <c r="O485" i="1"/>
  <c r="N485" i="1"/>
  <c r="M485" i="1"/>
  <c r="L485" i="1"/>
  <c r="K485" i="1"/>
  <c r="J485" i="1"/>
  <c r="I485" i="1"/>
  <c r="H485" i="1"/>
  <c r="G485" i="1" s="1"/>
  <c r="O484" i="1"/>
  <c r="N484" i="1"/>
  <c r="M484" i="1"/>
  <c r="L484" i="1"/>
  <c r="K484" i="1"/>
  <c r="J484" i="1"/>
  <c r="I484" i="1"/>
  <c r="H484" i="1"/>
  <c r="G484" i="1" s="1"/>
  <c r="O483" i="1"/>
  <c r="N483" i="1"/>
  <c r="M483" i="1"/>
  <c r="L483" i="1"/>
  <c r="K483" i="1"/>
  <c r="J483" i="1"/>
  <c r="I483" i="1"/>
  <c r="H483" i="1"/>
  <c r="G483" i="1" s="1"/>
  <c r="O482" i="1"/>
  <c r="N482" i="1"/>
  <c r="M482" i="1"/>
  <c r="L482" i="1"/>
  <c r="K482" i="1"/>
  <c r="J482" i="1"/>
  <c r="I482" i="1"/>
  <c r="H482" i="1"/>
  <c r="G482" i="1" s="1"/>
  <c r="O481" i="1"/>
  <c r="N481" i="1"/>
  <c r="M481" i="1"/>
  <c r="L481" i="1"/>
  <c r="K481" i="1"/>
  <c r="J481" i="1"/>
  <c r="I481" i="1"/>
  <c r="H481" i="1"/>
  <c r="G481" i="1" s="1"/>
  <c r="O480" i="1"/>
  <c r="N480" i="1"/>
  <c r="M480" i="1"/>
  <c r="L480" i="1"/>
  <c r="K480" i="1"/>
  <c r="J480" i="1"/>
  <c r="I480" i="1"/>
  <c r="H480" i="1"/>
  <c r="G480" i="1" s="1"/>
  <c r="O479" i="1"/>
  <c r="N479" i="1"/>
  <c r="M479" i="1"/>
  <c r="L479" i="1"/>
  <c r="K479" i="1"/>
  <c r="J479" i="1"/>
  <c r="I479" i="1"/>
  <c r="H479" i="1"/>
  <c r="G479" i="1" s="1"/>
  <c r="O478" i="1"/>
  <c r="N478" i="1"/>
  <c r="M478" i="1"/>
  <c r="L478" i="1"/>
  <c r="K478" i="1"/>
  <c r="J478" i="1"/>
  <c r="I478" i="1"/>
  <c r="H478" i="1"/>
  <c r="G478" i="1" s="1"/>
  <c r="O477" i="1"/>
  <c r="N477" i="1"/>
  <c r="M477" i="1"/>
  <c r="L477" i="1"/>
  <c r="K477" i="1"/>
  <c r="J477" i="1"/>
  <c r="I477" i="1"/>
  <c r="H477" i="1"/>
  <c r="G477" i="1" s="1"/>
  <c r="O476" i="1"/>
  <c r="N476" i="1"/>
  <c r="M476" i="1"/>
  <c r="L476" i="1"/>
  <c r="K476" i="1"/>
  <c r="J476" i="1"/>
  <c r="I476" i="1"/>
  <c r="H476" i="1"/>
  <c r="G476" i="1" s="1"/>
  <c r="O475" i="1"/>
  <c r="N475" i="1"/>
  <c r="M475" i="1"/>
  <c r="L475" i="1"/>
  <c r="K475" i="1"/>
  <c r="J475" i="1"/>
  <c r="I475" i="1"/>
  <c r="H475" i="1"/>
  <c r="G475" i="1" s="1"/>
  <c r="O474" i="1"/>
  <c r="N474" i="1"/>
  <c r="M474" i="1"/>
  <c r="L474" i="1"/>
  <c r="K474" i="1"/>
  <c r="J474" i="1"/>
  <c r="I474" i="1"/>
  <c r="H474" i="1"/>
  <c r="G474" i="1" s="1"/>
  <c r="O473" i="1"/>
  <c r="N473" i="1"/>
  <c r="M473" i="1"/>
  <c r="L473" i="1"/>
  <c r="K473" i="1"/>
  <c r="J473" i="1"/>
  <c r="I473" i="1"/>
  <c r="H473" i="1"/>
  <c r="G473" i="1" s="1"/>
  <c r="O472" i="1"/>
  <c r="N472" i="1"/>
  <c r="M472" i="1"/>
  <c r="L472" i="1"/>
  <c r="K472" i="1"/>
  <c r="J472" i="1"/>
  <c r="I472" i="1"/>
  <c r="H472" i="1"/>
  <c r="G472" i="1" s="1"/>
  <c r="O471" i="1"/>
  <c r="N471" i="1"/>
  <c r="M471" i="1"/>
  <c r="L471" i="1"/>
  <c r="K471" i="1"/>
  <c r="J471" i="1"/>
  <c r="I471" i="1"/>
  <c r="H471" i="1"/>
  <c r="G471" i="1" s="1"/>
  <c r="O470" i="1"/>
  <c r="N470" i="1"/>
  <c r="M470" i="1"/>
  <c r="L470" i="1"/>
  <c r="K470" i="1"/>
  <c r="J470" i="1"/>
  <c r="I470" i="1"/>
  <c r="H470" i="1"/>
  <c r="G470" i="1" s="1"/>
  <c r="O469" i="1"/>
  <c r="N469" i="1"/>
  <c r="M469" i="1"/>
  <c r="L469" i="1"/>
  <c r="K469" i="1"/>
  <c r="J469" i="1"/>
  <c r="I469" i="1"/>
  <c r="H469" i="1"/>
  <c r="G469" i="1" s="1"/>
  <c r="O468" i="1"/>
  <c r="N468" i="1"/>
  <c r="M468" i="1"/>
  <c r="L468" i="1"/>
  <c r="K468" i="1"/>
  <c r="J468" i="1"/>
  <c r="I468" i="1"/>
  <c r="H468" i="1"/>
  <c r="G468" i="1" s="1"/>
  <c r="O467" i="1"/>
  <c r="N467" i="1"/>
  <c r="M467" i="1"/>
  <c r="L467" i="1"/>
  <c r="K467" i="1"/>
  <c r="J467" i="1"/>
  <c r="I467" i="1"/>
  <c r="H467" i="1"/>
  <c r="G467" i="1" s="1"/>
  <c r="O466" i="1"/>
  <c r="N466" i="1"/>
  <c r="M466" i="1"/>
  <c r="L466" i="1"/>
  <c r="K466" i="1"/>
  <c r="J466" i="1"/>
  <c r="I466" i="1"/>
  <c r="H466" i="1"/>
  <c r="G466" i="1" s="1"/>
  <c r="O465" i="1"/>
  <c r="N465" i="1"/>
  <c r="M465" i="1"/>
  <c r="L465" i="1"/>
  <c r="K465" i="1"/>
  <c r="J465" i="1"/>
  <c r="I465" i="1"/>
  <c r="H465" i="1"/>
  <c r="G465" i="1" s="1"/>
  <c r="O464" i="1"/>
  <c r="N464" i="1"/>
  <c r="M464" i="1"/>
  <c r="L464" i="1"/>
  <c r="K464" i="1"/>
  <c r="J464" i="1"/>
  <c r="I464" i="1"/>
  <c r="H464" i="1"/>
  <c r="G464" i="1" s="1"/>
  <c r="O463" i="1"/>
  <c r="N463" i="1"/>
  <c r="M463" i="1"/>
  <c r="L463" i="1"/>
  <c r="K463" i="1"/>
  <c r="J463" i="1"/>
  <c r="I463" i="1"/>
  <c r="H463" i="1"/>
  <c r="G463" i="1" s="1"/>
  <c r="O462" i="1"/>
  <c r="N462" i="1"/>
  <c r="M462" i="1"/>
  <c r="L462" i="1"/>
  <c r="K462" i="1"/>
  <c r="J462" i="1"/>
  <c r="I462" i="1"/>
  <c r="H462" i="1"/>
  <c r="G462" i="1" s="1"/>
  <c r="O461" i="1"/>
  <c r="N461" i="1"/>
  <c r="M461" i="1"/>
  <c r="L461" i="1"/>
  <c r="K461" i="1"/>
  <c r="J461" i="1"/>
  <c r="I461" i="1"/>
  <c r="H461" i="1"/>
  <c r="G461" i="1" s="1"/>
  <c r="O460" i="1"/>
  <c r="N460" i="1"/>
  <c r="M460" i="1"/>
  <c r="L460" i="1"/>
  <c r="K460" i="1"/>
  <c r="J460" i="1"/>
  <c r="I460" i="1"/>
  <c r="H460" i="1"/>
  <c r="G460" i="1" s="1"/>
  <c r="O459" i="1"/>
  <c r="N459" i="1"/>
  <c r="M459" i="1"/>
  <c r="L459" i="1"/>
  <c r="K459" i="1"/>
  <c r="J459" i="1"/>
  <c r="I459" i="1"/>
  <c r="H459" i="1"/>
  <c r="G459" i="1" s="1"/>
  <c r="O458" i="1"/>
  <c r="N458" i="1"/>
  <c r="M458" i="1"/>
  <c r="L458" i="1"/>
  <c r="K458" i="1"/>
  <c r="J458" i="1"/>
  <c r="I458" i="1"/>
  <c r="H458" i="1"/>
  <c r="G458" i="1" s="1"/>
  <c r="O457" i="1"/>
  <c r="N457" i="1"/>
  <c r="M457" i="1"/>
  <c r="L457" i="1"/>
  <c r="K457" i="1"/>
  <c r="J457" i="1"/>
  <c r="I457" i="1"/>
  <c r="H457" i="1"/>
  <c r="G457" i="1" s="1"/>
  <c r="O456" i="1"/>
  <c r="N456" i="1"/>
  <c r="M456" i="1"/>
  <c r="L456" i="1"/>
  <c r="K456" i="1"/>
  <c r="J456" i="1"/>
  <c r="I456" i="1"/>
  <c r="H456" i="1"/>
  <c r="G456" i="1" s="1"/>
  <c r="O455" i="1"/>
  <c r="N455" i="1"/>
  <c r="M455" i="1"/>
  <c r="L455" i="1"/>
  <c r="K455" i="1"/>
  <c r="J455" i="1"/>
  <c r="I455" i="1"/>
  <c r="H455" i="1"/>
  <c r="G455" i="1" s="1"/>
  <c r="O454" i="1"/>
  <c r="N454" i="1"/>
  <c r="M454" i="1"/>
  <c r="L454" i="1"/>
  <c r="K454" i="1"/>
  <c r="J454" i="1"/>
  <c r="I454" i="1"/>
  <c r="H454" i="1"/>
  <c r="G454" i="1" s="1"/>
  <c r="O453" i="1"/>
  <c r="N453" i="1"/>
  <c r="M453" i="1"/>
  <c r="L453" i="1"/>
  <c r="K453" i="1"/>
  <c r="J453" i="1"/>
  <c r="I453" i="1"/>
  <c r="H453" i="1"/>
  <c r="G453" i="1" s="1"/>
  <c r="O452" i="1"/>
  <c r="N452" i="1"/>
  <c r="M452" i="1"/>
  <c r="L452" i="1"/>
  <c r="K452" i="1"/>
  <c r="J452" i="1"/>
  <c r="I452" i="1"/>
  <c r="H452" i="1"/>
  <c r="G452" i="1" s="1"/>
  <c r="O451" i="1"/>
  <c r="N451" i="1"/>
  <c r="M451" i="1"/>
  <c r="L451" i="1"/>
  <c r="K451" i="1"/>
  <c r="J451" i="1"/>
  <c r="I451" i="1"/>
  <c r="H451" i="1"/>
  <c r="G451" i="1" s="1"/>
  <c r="O450" i="1"/>
  <c r="N450" i="1"/>
  <c r="M450" i="1"/>
  <c r="L450" i="1"/>
  <c r="K450" i="1"/>
  <c r="J450" i="1"/>
  <c r="I450" i="1"/>
  <c r="H450" i="1"/>
  <c r="G450" i="1" s="1"/>
  <c r="O449" i="1"/>
  <c r="N449" i="1"/>
  <c r="M449" i="1"/>
  <c r="L449" i="1"/>
  <c r="K449" i="1"/>
  <c r="J449" i="1"/>
  <c r="I449" i="1"/>
  <c r="H449" i="1"/>
  <c r="G449" i="1" s="1"/>
  <c r="O448" i="1"/>
  <c r="N448" i="1"/>
  <c r="M448" i="1"/>
  <c r="L448" i="1"/>
  <c r="K448" i="1"/>
  <c r="J448" i="1"/>
  <c r="I448" i="1"/>
  <c r="H448" i="1"/>
  <c r="G448" i="1" s="1"/>
  <c r="O447" i="1"/>
  <c r="N447" i="1"/>
  <c r="M447" i="1"/>
  <c r="L447" i="1"/>
  <c r="K447" i="1"/>
  <c r="J447" i="1"/>
  <c r="I447" i="1"/>
  <c r="H447" i="1"/>
  <c r="G447" i="1" s="1"/>
  <c r="O446" i="1"/>
  <c r="N446" i="1"/>
  <c r="M446" i="1"/>
  <c r="L446" i="1"/>
  <c r="K446" i="1"/>
  <c r="J446" i="1"/>
  <c r="I446" i="1"/>
  <c r="H446" i="1"/>
  <c r="G446" i="1" s="1"/>
  <c r="O445" i="1"/>
  <c r="N445" i="1"/>
  <c r="M445" i="1"/>
  <c r="L445" i="1"/>
  <c r="K445" i="1"/>
  <c r="J445" i="1"/>
  <c r="I445" i="1"/>
  <c r="H445" i="1"/>
  <c r="G445" i="1" s="1"/>
  <c r="O444" i="1"/>
  <c r="N444" i="1"/>
  <c r="M444" i="1"/>
  <c r="L444" i="1"/>
  <c r="K444" i="1"/>
  <c r="J444" i="1"/>
  <c r="I444" i="1"/>
  <c r="H444" i="1"/>
  <c r="G444" i="1" s="1"/>
  <c r="O443" i="1"/>
  <c r="N443" i="1"/>
  <c r="M443" i="1"/>
  <c r="L443" i="1"/>
  <c r="K443" i="1"/>
  <c r="J443" i="1"/>
  <c r="I443" i="1"/>
  <c r="H443" i="1"/>
  <c r="G443" i="1" s="1"/>
  <c r="O442" i="1"/>
  <c r="N442" i="1"/>
  <c r="M442" i="1"/>
  <c r="L442" i="1"/>
  <c r="K442" i="1"/>
  <c r="J442" i="1"/>
  <c r="I442" i="1"/>
  <c r="H442" i="1"/>
  <c r="G442" i="1" s="1"/>
  <c r="O441" i="1"/>
  <c r="N441" i="1"/>
  <c r="M441" i="1"/>
  <c r="L441" i="1"/>
  <c r="K441" i="1"/>
  <c r="J441" i="1"/>
  <c r="I441" i="1"/>
  <c r="H441" i="1"/>
  <c r="G441" i="1" s="1"/>
  <c r="O440" i="1"/>
  <c r="N440" i="1"/>
  <c r="M440" i="1"/>
  <c r="L440" i="1"/>
  <c r="K440" i="1"/>
  <c r="J440" i="1"/>
  <c r="I440" i="1"/>
  <c r="H440" i="1"/>
  <c r="G440" i="1" s="1"/>
  <c r="O439" i="1"/>
  <c r="N439" i="1"/>
  <c r="M439" i="1"/>
  <c r="L439" i="1"/>
  <c r="K439" i="1"/>
  <c r="J439" i="1"/>
  <c r="I439" i="1"/>
  <c r="H439" i="1"/>
  <c r="G439" i="1" s="1"/>
  <c r="O438" i="1"/>
  <c r="N438" i="1"/>
  <c r="M438" i="1"/>
  <c r="L438" i="1"/>
  <c r="K438" i="1"/>
  <c r="J438" i="1"/>
  <c r="I438" i="1"/>
  <c r="H438" i="1"/>
  <c r="G438" i="1" s="1"/>
  <c r="O437" i="1"/>
  <c r="N437" i="1"/>
  <c r="M437" i="1"/>
  <c r="L437" i="1"/>
  <c r="K437" i="1"/>
  <c r="J437" i="1"/>
  <c r="I437" i="1"/>
  <c r="H437" i="1"/>
  <c r="G437" i="1" s="1"/>
  <c r="O436" i="1"/>
  <c r="N436" i="1"/>
  <c r="M436" i="1"/>
  <c r="L436" i="1"/>
  <c r="K436" i="1"/>
  <c r="J436" i="1"/>
  <c r="I436" i="1"/>
  <c r="H436" i="1"/>
  <c r="G436" i="1" s="1"/>
  <c r="O435" i="1"/>
  <c r="N435" i="1"/>
  <c r="M435" i="1"/>
  <c r="L435" i="1"/>
  <c r="K435" i="1"/>
  <c r="J435" i="1"/>
  <c r="I435" i="1"/>
  <c r="H435" i="1"/>
  <c r="G435" i="1" s="1"/>
  <c r="O434" i="1"/>
  <c r="N434" i="1"/>
  <c r="M434" i="1"/>
  <c r="L434" i="1"/>
  <c r="K434" i="1"/>
  <c r="J434" i="1"/>
  <c r="I434" i="1"/>
  <c r="H434" i="1"/>
  <c r="G434" i="1" s="1"/>
  <c r="O433" i="1"/>
  <c r="N433" i="1"/>
  <c r="M433" i="1"/>
  <c r="L433" i="1"/>
  <c r="K433" i="1"/>
  <c r="J433" i="1"/>
  <c r="I433" i="1"/>
  <c r="H433" i="1"/>
  <c r="G433" i="1" s="1"/>
  <c r="O432" i="1"/>
  <c r="N432" i="1"/>
  <c r="M432" i="1"/>
  <c r="L432" i="1"/>
  <c r="K432" i="1"/>
  <c r="J432" i="1"/>
  <c r="I432" i="1"/>
  <c r="H432" i="1"/>
  <c r="G432" i="1" s="1"/>
  <c r="O431" i="1"/>
  <c r="N431" i="1"/>
  <c r="M431" i="1"/>
  <c r="L431" i="1"/>
  <c r="K431" i="1"/>
  <c r="J431" i="1"/>
  <c r="I431" i="1"/>
  <c r="H431" i="1"/>
  <c r="G431" i="1" s="1"/>
  <c r="O430" i="1"/>
  <c r="N430" i="1"/>
  <c r="M430" i="1"/>
  <c r="L430" i="1"/>
  <c r="K430" i="1"/>
  <c r="J430" i="1"/>
  <c r="I430" i="1"/>
  <c r="H430" i="1"/>
  <c r="G430" i="1" s="1"/>
  <c r="O429" i="1"/>
  <c r="N429" i="1"/>
  <c r="M429" i="1"/>
  <c r="L429" i="1"/>
  <c r="K429" i="1"/>
  <c r="J429" i="1"/>
  <c r="I429" i="1"/>
  <c r="H429" i="1"/>
  <c r="G429" i="1" s="1"/>
  <c r="O428" i="1"/>
  <c r="N428" i="1"/>
  <c r="M428" i="1"/>
  <c r="L428" i="1"/>
  <c r="K428" i="1"/>
  <c r="J428" i="1"/>
  <c r="I428" i="1"/>
  <c r="H428" i="1"/>
  <c r="G428" i="1" s="1"/>
  <c r="O427" i="1"/>
  <c r="N427" i="1"/>
  <c r="M427" i="1"/>
  <c r="L427" i="1"/>
  <c r="K427" i="1"/>
  <c r="J427" i="1"/>
  <c r="I427" i="1"/>
  <c r="H427" i="1"/>
  <c r="G427" i="1" s="1"/>
  <c r="O426" i="1"/>
  <c r="N426" i="1"/>
  <c r="M426" i="1"/>
  <c r="L426" i="1"/>
  <c r="K426" i="1"/>
  <c r="J426" i="1"/>
  <c r="I426" i="1"/>
  <c r="H426" i="1"/>
  <c r="G426" i="1" s="1"/>
  <c r="O425" i="1"/>
  <c r="N425" i="1"/>
  <c r="M425" i="1"/>
  <c r="L425" i="1"/>
  <c r="K425" i="1"/>
  <c r="J425" i="1"/>
  <c r="I425" i="1"/>
  <c r="H425" i="1"/>
  <c r="G425" i="1" s="1"/>
  <c r="O424" i="1"/>
  <c r="N424" i="1"/>
  <c r="M424" i="1"/>
  <c r="L424" i="1"/>
  <c r="K424" i="1"/>
  <c r="J424" i="1"/>
  <c r="I424" i="1"/>
  <c r="H424" i="1"/>
  <c r="G424" i="1" s="1"/>
  <c r="O423" i="1"/>
  <c r="N423" i="1"/>
  <c r="M423" i="1"/>
  <c r="L423" i="1"/>
  <c r="K423" i="1"/>
  <c r="J423" i="1"/>
  <c r="I423" i="1"/>
  <c r="H423" i="1"/>
  <c r="G423" i="1" s="1"/>
  <c r="O422" i="1"/>
  <c r="N422" i="1"/>
  <c r="M422" i="1"/>
  <c r="L422" i="1"/>
  <c r="K422" i="1"/>
  <c r="J422" i="1"/>
  <c r="I422" i="1"/>
  <c r="H422" i="1"/>
  <c r="G422" i="1" s="1"/>
  <c r="O421" i="1"/>
  <c r="N421" i="1"/>
  <c r="M421" i="1"/>
  <c r="L421" i="1"/>
  <c r="K421" i="1"/>
  <c r="J421" i="1"/>
  <c r="I421" i="1"/>
  <c r="H421" i="1"/>
  <c r="G421" i="1" s="1"/>
  <c r="O420" i="1"/>
  <c r="N420" i="1"/>
  <c r="M420" i="1"/>
  <c r="L420" i="1"/>
  <c r="K420" i="1"/>
  <c r="J420" i="1"/>
  <c r="I420" i="1"/>
  <c r="H420" i="1"/>
  <c r="G420" i="1" s="1"/>
  <c r="O419" i="1"/>
  <c r="N419" i="1"/>
  <c r="M419" i="1"/>
  <c r="L419" i="1"/>
  <c r="K419" i="1"/>
  <c r="J419" i="1"/>
  <c r="I419" i="1"/>
  <c r="H419" i="1"/>
  <c r="G419" i="1" s="1"/>
  <c r="O418" i="1"/>
  <c r="N418" i="1"/>
  <c r="M418" i="1"/>
  <c r="L418" i="1"/>
  <c r="K418" i="1"/>
  <c r="J418" i="1"/>
  <c r="I418" i="1"/>
  <c r="H418" i="1"/>
  <c r="G418" i="1" s="1"/>
  <c r="O417" i="1"/>
  <c r="N417" i="1"/>
  <c r="M417" i="1"/>
  <c r="L417" i="1"/>
  <c r="K417" i="1"/>
  <c r="J417" i="1"/>
  <c r="I417" i="1"/>
  <c r="H417" i="1"/>
  <c r="G417" i="1" s="1"/>
  <c r="O416" i="1"/>
  <c r="N416" i="1"/>
  <c r="M416" i="1"/>
  <c r="L416" i="1"/>
  <c r="K416" i="1"/>
  <c r="J416" i="1"/>
  <c r="I416" i="1"/>
  <c r="H416" i="1"/>
  <c r="G416" i="1" s="1"/>
  <c r="O415" i="1"/>
  <c r="N415" i="1"/>
  <c r="M415" i="1"/>
  <c r="L415" i="1"/>
  <c r="K415" i="1"/>
  <c r="J415" i="1"/>
  <c r="I415" i="1"/>
  <c r="H415" i="1"/>
  <c r="G415" i="1" s="1"/>
  <c r="O414" i="1"/>
  <c r="N414" i="1"/>
  <c r="M414" i="1"/>
  <c r="L414" i="1"/>
  <c r="K414" i="1"/>
  <c r="J414" i="1"/>
  <c r="I414" i="1"/>
  <c r="H414" i="1"/>
  <c r="G414" i="1" s="1"/>
  <c r="O413" i="1"/>
  <c r="N413" i="1"/>
  <c r="M413" i="1"/>
  <c r="L413" i="1"/>
  <c r="K413" i="1"/>
  <c r="J413" i="1"/>
  <c r="I413" i="1"/>
  <c r="H413" i="1"/>
  <c r="G413" i="1" s="1"/>
  <c r="O412" i="1"/>
  <c r="N412" i="1"/>
  <c r="M412" i="1"/>
  <c r="L412" i="1"/>
  <c r="K412" i="1"/>
  <c r="J412" i="1"/>
  <c r="I412" i="1"/>
  <c r="H412" i="1"/>
  <c r="G412" i="1" s="1"/>
  <c r="O411" i="1"/>
  <c r="N411" i="1"/>
  <c r="M411" i="1"/>
  <c r="L411" i="1"/>
  <c r="K411" i="1"/>
  <c r="J411" i="1"/>
  <c r="I411" i="1"/>
  <c r="H411" i="1"/>
  <c r="G411" i="1" s="1"/>
  <c r="O410" i="1"/>
  <c r="N410" i="1"/>
  <c r="M410" i="1"/>
  <c r="L410" i="1"/>
  <c r="K410" i="1"/>
  <c r="J410" i="1"/>
  <c r="I410" i="1"/>
  <c r="H410" i="1"/>
  <c r="G410" i="1" s="1"/>
  <c r="O409" i="1"/>
  <c r="N409" i="1"/>
  <c r="M409" i="1"/>
  <c r="L409" i="1"/>
  <c r="K409" i="1"/>
  <c r="J409" i="1"/>
  <c r="I409" i="1"/>
  <c r="H409" i="1"/>
  <c r="G409" i="1" s="1"/>
  <c r="O408" i="1"/>
  <c r="N408" i="1"/>
  <c r="M408" i="1"/>
  <c r="L408" i="1"/>
  <c r="K408" i="1"/>
  <c r="J408" i="1"/>
  <c r="I408" i="1"/>
  <c r="H408" i="1"/>
  <c r="G408" i="1" s="1"/>
  <c r="O407" i="1"/>
  <c r="N407" i="1"/>
  <c r="M407" i="1"/>
  <c r="L407" i="1"/>
  <c r="K407" i="1"/>
  <c r="J407" i="1"/>
  <c r="I407" i="1"/>
  <c r="H407" i="1"/>
  <c r="G407" i="1" s="1"/>
  <c r="O406" i="1"/>
  <c r="N406" i="1"/>
  <c r="M406" i="1"/>
  <c r="L406" i="1"/>
  <c r="K406" i="1"/>
  <c r="J406" i="1"/>
  <c r="I406" i="1"/>
  <c r="H406" i="1"/>
  <c r="G406" i="1" s="1"/>
  <c r="O405" i="1"/>
  <c r="N405" i="1"/>
  <c r="M405" i="1"/>
  <c r="L405" i="1"/>
  <c r="K405" i="1"/>
  <c r="J405" i="1"/>
  <c r="I405" i="1"/>
  <c r="H405" i="1"/>
  <c r="G405" i="1" s="1"/>
  <c r="O404" i="1"/>
  <c r="N404" i="1"/>
  <c r="M404" i="1"/>
  <c r="L404" i="1"/>
  <c r="K404" i="1"/>
  <c r="J404" i="1"/>
  <c r="I404" i="1"/>
  <c r="H404" i="1"/>
  <c r="G404" i="1" s="1"/>
  <c r="O403" i="1"/>
  <c r="N403" i="1"/>
  <c r="M403" i="1"/>
  <c r="L403" i="1"/>
  <c r="K403" i="1"/>
  <c r="J403" i="1"/>
  <c r="I403" i="1"/>
  <c r="H403" i="1"/>
  <c r="G403" i="1" s="1"/>
  <c r="O402" i="1"/>
  <c r="N402" i="1"/>
  <c r="M402" i="1"/>
  <c r="L402" i="1"/>
  <c r="K402" i="1"/>
  <c r="J402" i="1"/>
  <c r="I402" i="1"/>
  <c r="H402" i="1"/>
  <c r="G402" i="1" s="1"/>
  <c r="O401" i="1"/>
  <c r="N401" i="1"/>
  <c r="M401" i="1"/>
  <c r="L401" i="1"/>
  <c r="K401" i="1"/>
  <c r="J401" i="1"/>
  <c r="I401" i="1"/>
  <c r="H401" i="1"/>
  <c r="G401" i="1" s="1"/>
  <c r="O400" i="1"/>
  <c r="N400" i="1"/>
  <c r="M400" i="1"/>
  <c r="L400" i="1"/>
  <c r="K400" i="1"/>
  <c r="J400" i="1"/>
  <c r="I400" i="1"/>
  <c r="H400" i="1"/>
  <c r="G400" i="1" s="1"/>
  <c r="O399" i="1"/>
  <c r="N399" i="1"/>
  <c r="M399" i="1"/>
  <c r="L399" i="1"/>
  <c r="K399" i="1"/>
  <c r="J399" i="1"/>
  <c r="I399" i="1"/>
  <c r="H399" i="1"/>
  <c r="G399" i="1" s="1"/>
  <c r="O398" i="1"/>
  <c r="N398" i="1"/>
  <c r="M398" i="1"/>
  <c r="L398" i="1"/>
  <c r="K398" i="1"/>
  <c r="J398" i="1"/>
  <c r="I398" i="1"/>
  <c r="H398" i="1"/>
  <c r="G398" i="1" s="1"/>
  <c r="O397" i="1"/>
  <c r="N397" i="1"/>
  <c r="M397" i="1"/>
  <c r="L397" i="1"/>
  <c r="K397" i="1"/>
  <c r="J397" i="1"/>
  <c r="I397" i="1"/>
  <c r="H397" i="1"/>
  <c r="G397" i="1" s="1"/>
  <c r="O396" i="1"/>
  <c r="N396" i="1"/>
  <c r="M396" i="1"/>
  <c r="L396" i="1"/>
  <c r="K396" i="1"/>
  <c r="J396" i="1"/>
  <c r="I396" i="1"/>
  <c r="H396" i="1"/>
  <c r="G396" i="1" s="1"/>
  <c r="O395" i="1"/>
  <c r="N395" i="1"/>
  <c r="M395" i="1"/>
  <c r="L395" i="1"/>
  <c r="K395" i="1"/>
  <c r="J395" i="1"/>
  <c r="I395" i="1"/>
  <c r="H395" i="1"/>
  <c r="G395" i="1" s="1"/>
  <c r="O394" i="1"/>
  <c r="N394" i="1"/>
  <c r="M394" i="1"/>
  <c r="L394" i="1"/>
  <c r="K394" i="1"/>
  <c r="J394" i="1"/>
  <c r="I394" i="1"/>
  <c r="H394" i="1"/>
  <c r="G394" i="1" s="1"/>
  <c r="O393" i="1"/>
  <c r="N393" i="1"/>
  <c r="M393" i="1"/>
  <c r="L393" i="1"/>
  <c r="K393" i="1"/>
  <c r="J393" i="1"/>
  <c r="I393" i="1"/>
  <c r="H393" i="1"/>
  <c r="G393" i="1" s="1"/>
  <c r="O392" i="1"/>
  <c r="N392" i="1"/>
  <c r="M392" i="1"/>
  <c r="L392" i="1"/>
  <c r="K392" i="1"/>
  <c r="J392" i="1"/>
  <c r="I392" i="1"/>
  <c r="H392" i="1"/>
  <c r="G392" i="1" s="1"/>
  <c r="O391" i="1"/>
  <c r="N391" i="1"/>
  <c r="M391" i="1"/>
  <c r="L391" i="1"/>
  <c r="K391" i="1"/>
  <c r="J391" i="1"/>
  <c r="I391" i="1"/>
  <c r="H391" i="1"/>
  <c r="G391" i="1" s="1"/>
  <c r="O390" i="1"/>
  <c r="N390" i="1"/>
  <c r="M390" i="1"/>
  <c r="L390" i="1"/>
  <c r="K390" i="1"/>
  <c r="J390" i="1"/>
  <c r="I390" i="1"/>
  <c r="H390" i="1"/>
  <c r="G390" i="1" s="1"/>
  <c r="O389" i="1"/>
  <c r="N389" i="1"/>
  <c r="M389" i="1"/>
  <c r="L389" i="1"/>
  <c r="K389" i="1"/>
  <c r="J389" i="1"/>
  <c r="I389" i="1"/>
  <c r="H389" i="1"/>
  <c r="G389" i="1" s="1"/>
  <c r="O388" i="1"/>
  <c r="N388" i="1"/>
  <c r="M388" i="1"/>
  <c r="L388" i="1"/>
  <c r="K388" i="1"/>
  <c r="J388" i="1"/>
  <c r="I388" i="1"/>
  <c r="H388" i="1"/>
  <c r="G388" i="1" s="1"/>
  <c r="O387" i="1"/>
  <c r="N387" i="1"/>
  <c r="M387" i="1"/>
  <c r="L387" i="1"/>
  <c r="K387" i="1"/>
  <c r="J387" i="1"/>
  <c r="I387" i="1"/>
  <c r="H387" i="1"/>
  <c r="G387" i="1" s="1"/>
  <c r="O386" i="1"/>
  <c r="N386" i="1"/>
  <c r="M386" i="1"/>
  <c r="L386" i="1"/>
  <c r="K386" i="1"/>
  <c r="J386" i="1"/>
  <c r="I386" i="1"/>
  <c r="H386" i="1"/>
  <c r="G386" i="1" s="1"/>
  <c r="O385" i="1"/>
  <c r="N385" i="1"/>
  <c r="M385" i="1"/>
  <c r="L385" i="1"/>
  <c r="K385" i="1"/>
  <c r="J385" i="1"/>
  <c r="I385" i="1"/>
  <c r="H385" i="1"/>
  <c r="G385" i="1" s="1"/>
  <c r="O384" i="1"/>
  <c r="N384" i="1"/>
  <c r="M384" i="1"/>
  <c r="L384" i="1"/>
  <c r="K384" i="1"/>
  <c r="J384" i="1"/>
  <c r="I384" i="1"/>
  <c r="H384" i="1"/>
  <c r="G384" i="1" s="1"/>
  <c r="O383" i="1"/>
  <c r="N383" i="1"/>
  <c r="M383" i="1"/>
  <c r="L383" i="1"/>
  <c r="K383" i="1"/>
  <c r="J383" i="1"/>
  <c r="I383" i="1"/>
  <c r="H383" i="1"/>
  <c r="G383" i="1" s="1"/>
  <c r="O382" i="1"/>
  <c r="N382" i="1"/>
  <c r="M382" i="1"/>
  <c r="L382" i="1"/>
  <c r="K382" i="1"/>
  <c r="J382" i="1"/>
  <c r="I382" i="1"/>
  <c r="H382" i="1"/>
  <c r="G382" i="1" s="1"/>
  <c r="O381" i="1"/>
  <c r="N381" i="1"/>
  <c r="M381" i="1"/>
  <c r="L381" i="1"/>
  <c r="K381" i="1"/>
  <c r="J381" i="1"/>
  <c r="I381" i="1"/>
  <c r="H381" i="1"/>
  <c r="G381" i="1" s="1"/>
  <c r="O380" i="1"/>
  <c r="N380" i="1"/>
  <c r="M380" i="1"/>
  <c r="L380" i="1"/>
  <c r="K380" i="1"/>
  <c r="J380" i="1"/>
  <c r="I380" i="1"/>
  <c r="H380" i="1"/>
  <c r="G380" i="1" s="1"/>
  <c r="O379" i="1"/>
  <c r="N379" i="1"/>
  <c r="M379" i="1"/>
  <c r="L379" i="1"/>
  <c r="K379" i="1"/>
  <c r="J379" i="1"/>
  <c r="I379" i="1"/>
  <c r="H379" i="1"/>
  <c r="G379" i="1" s="1"/>
  <c r="O378" i="1"/>
  <c r="N378" i="1"/>
  <c r="M378" i="1"/>
  <c r="L378" i="1"/>
  <c r="K378" i="1"/>
  <c r="J378" i="1"/>
  <c r="I378" i="1"/>
  <c r="H378" i="1"/>
  <c r="G378" i="1" s="1"/>
  <c r="O377" i="1"/>
  <c r="N377" i="1"/>
  <c r="M377" i="1"/>
  <c r="L377" i="1"/>
  <c r="K377" i="1"/>
  <c r="J377" i="1"/>
  <c r="I377" i="1"/>
  <c r="H377" i="1"/>
  <c r="G377" i="1" s="1"/>
  <c r="O376" i="1"/>
  <c r="N376" i="1"/>
  <c r="M376" i="1"/>
  <c r="L376" i="1"/>
  <c r="K376" i="1"/>
  <c r="J376" i="1"/>
  <c r="I376" i="1"/>
  <c r="H376" i="1"/>
  <c r="G376" i="1" s="1"/>
  <c r="O375" i="1"/>
  <c r="N375" i="1"/>
  <c r="M375" i="1"/>
  <c r="L375" i="1"/>
  <c r="K375" i="1"/>
  <c r="J375" i="1"/>
  <c r="I375" i="1"/>
  <c r="H375" i="1"/>
  <c r="G375" i="1" s="1"/>
  <c r="O374" i="1"/>
  <c r="N374" i="1"/>
  <c r="M374" i="1"/>
  <c r="L374" i="1"/>
  <c r="K374" i="1"/>
  <c r="J374" i="1"/>
  <c r="I374" i="1"/>
  <c r="H374" i="1"/>
  <c r="G374" i="1" s="1"/>
  <c r="O373" i="1"/>
  <c r="N373" i="1"/>
  <c r="M373" i="1"/>
  <c r="L373" i="1"/>
  <c r="K373" i="1"/>
  <c r="J373" i="1"/>
  <c r="I373" i="1"/>
  <c r="H373" i="1"/>
  <c r="G373" i="1" s="1"/>
  <c r="O372" i="1"/>
  <c r="N372" i="1"/>
  <c r="M372" i="1"/>
  <c r="L372" i="1"/>
  <c r="K372" i="1"/>
  <c r="J372" i="1"/>
  <c r="I372" i="1"/>
  <c r="H372" i="1"/>
  <c r="G372" i="1" s="1"/>
  <c r="O371" i="1"/>
  <c r="N371" i="1"/>
  <c r="M371" i="1"/>
  <c r="L371" i="1"/>
  <c r="K371" i="1"/>
  <c r="J371" i="1"/>
  <c r="I371" i="1"/>
  <c r="H371" i="1"/>
  <c r="G371" i="1" s="1"/>
  <c r="O370" i="1"/>
  <c r="N370" i="1"/>
  <c r="M370" i="1"/>
  <c r="L370" i="1"/>
  <c r="K370" i="1"/>
  <c r="J370" i="1"/>
  <c r="I370" i="1"/>
  <c r="H370" i="1"/>
  <c r="G370" i="1" s="1"/>
  <c r="O369" i="1"/>
  <c r="N369" i="1"/>
  <c r="M369" i="1"/>
  <c r="L369" i="1"/>
  <c r="K369" i="1"/>
  <c r="J369" i="1"/>
  <c r="I369" i="1"/>
  <c r="H369" i="1"/>
  <c r="G369" i="1" s="1"/>
  <c r="O368" i="1"/>
  <c r="N368" i="1"/>
  <c r="M368" i="1"/>
  <c r="L368" i="1"/>
  <c r="K368" i="1"/>
  <c r="J368" i="1"/>
  <c r="I368" i="1"/>
  <c r="H368" i="1"/>
  <c r="G368" i="1" s="1"/>
  <c r="O367" i="1"/>
  <c r="N367" i="1"/>
  <c r="M367" i="1"/>
  <c r="L367" i="1"/>
  <c r="K367" i="1"/>
  <c r="J367" i="1"/>
  <c r="I367" i="1"/>
  <c r="H367" i="1"/>
  <c r="G367" i="1" s="1"/>
  <c r="O366" i="1"/>
  <c r="N366" i="1"/>
  <c r="M366" i="1"/>
  <c r="L366" i="1"/>
  <c r="K366" i="1"/>
  <c r="J366" i="1"/>
  <c r="I366" i="1"/>
  <c r="H366" i="1"/>
  <c r="G366" i="1" s="1"/>
  <c r="O365" i="1"/>
  <c r="N365" i="1"/>
  <c r="M365" i="1"/>
  <c r="L365" i="1"/>
  <c r="K365" i="1"/>
  <c r="J365" i="1"/>
  <c r="I365" i="1"/>
  <c r="H365" i="1"/>
  <c r="G365" i="1" s="1"/>
  <c r="O364" i="1"/>
  <c r="N364" i="1"/>
  <c r="M364" i="1"/>
  <c r="L364" i="1"/>
  <c r="K364" i="1"/>
  <c r="J364" i="1"/>
  <c r="I364" i="1"/>
  <c r="H364" i="1"/>
  <c r="G364" i="1" s="1"/>
  <c r="O363" i="1"/>
  <c r="N363" i="1"/>
  <c r="M363" i="1"/>
  <c r="L363" i="1"/>
  <c r="K363" i="1"/>
  <c r="J363" i="1"/>
  <c r="I363" i="1"/>
  <c r="H363" i="1"/>
  <c r="G363" i="1" s="1"/>
  <c r="O362" i="1"/>
  <c r="N362" i="1"/>
  <c r="M362" i="1"/>
  <c r="L362" i="1"/>
  <c r="K362" i="1"/>
  <c r="J362" i="1"/>
  <c r="I362" i="1"/>
  <c r="H362" i="1"/>
  <c r="G362" i="1" s="1"/>
  <c r="O361" i="1"/>
  <c r="N361" i="1"/>
  <c r="M361" i="1"/>
  <c r="L361" i="1"/>
  <c r="K361" i="1"/>
  <c r="J361" i="1"/>
  <c r="I361" i="1"/>
  <c r="H361" i="1"/>
  <c r="G361" i="1" s="1"/>
  <c r="O360" i="1"/>
  <c r="N360" i="1"/>
  <c r="M360" i="1"/>
  <c r="L360" i="1"/>
  <c r="K360" i="1"/>
  <c r="J360" i="1"/>
  <c r="I360" i="1"/>
  <c r="H360" i="1"/>
  <c r="G360" i="1" s="1"/>
  <c r="O359" i="1"/>
  <c r="N359" i="1"/>
  <c r="M359" i="1"/>
  <c r="L359" i="1"/>
  <c r="K359" i="1"/>
  <c r="J359" i="1"/>
  <c r="I359" i="1"/>
  <c r="H359" i="1"/>
  <c r="G359" i="1" s="1"/>
  <c r="O358" i="1"/>
  <c r="N358" i="1"/>
  <c r="M358" i="1"/>
  <c r="L358" i="1"/>
  <c r="K358" i="1"/>
  <c r="J358" i="1"/>
  <c r="I358" i="1"/>
  <c r="H358" i="1"/>
  <c r="G358" i="1" s="1"/>
  <c r="O357" i="1"/>
  <c r="N357" i="1"/>
  <c r="M357" i="1"/>
  <c r="L357" i="1"/>
  <c r="K357" i="1"/>
  <c r="J357" i="1"/>
  <c r="I357" i="1"/>
  <c r="H357" i="1"/>
  <c r="G357" i="1" s="1"/>
  <c r="O356" i="1"/>
  <c r="N356" i="1"/>
  <c r="M356" i="1"/>
  <c r="L356" i="1"/>
  <c r="K356" i="1"/>
  <c r="J356" i="1"/>
  <c r="I356" i="1"/>
  <c r="H356" i="1"/>
  <c r="G356" i="1" s="1"/>
  <c r="O355" i="1"/>
  <c r="N355" i="1"/>
  <c r="M355" i="1"/>
  <c r="L355" i="1"/>
  <c r="K355" i="1"/>
  <c r="J355" i="1"/>
  <c r="I355" i="1"/>
  <c r="H355" i="1"/>
  <c r="G355" i="1" s="1"/>
  <c r="O354" i="1"/>
  <c r="N354" i="1"/>
  <c r="M354" i="1"/>
  <c r="L354" i="1"/>
  <c r="K354" i="1"/>
  <c r="J354" i="1"/>
  <c r="I354" i="1"/>
  <c r="H354" i="1"/>
  <c r="G354" i="1" s="1"/>
  <c r="O353" i="1"/>
  <c r="N353" i="1"/>
  <c r="M353" i="1"/>
  <c r="L353" i="1"/>
  <c r="K353" i="1"/>
  <c r="J353" i="1"/>
  <c r="I353" i="1"/>
  <c r="H353" i="1"/>
  <c r="G353" i="1" s="1"/>
  <c r="O352" i="1"/>
  <c r="N352" i="1"/>
  <c r="M352" i="1"/>
  <c r="L352" i="1"/>
  <c r="K352" i="1"/>
  <c r="J352" i="1"/>
  <c r="I352" i="1"/>
  <c r="H352" i="1"/>
  <c r="G352" i="1" s="1"/>
  <c r="O351" i="1"/>
  <c r="N351" i="1"/>
  <c r="M351" i="1"/>
  <c r="L351" i="1"/>
  <c r="K351" i="1"/>
  <c r="J351" i="1"/>
  <c r="I351" i="1"/>
  <c r="H351" i="1"/>
  <c r="G351" i="1" s="1"/>
  <c r="O350" i="1"/>
  <c r="N350" i="1"/>
  <c r="M350" i="1"/>
  <c r="L350" i="1"/>
  <c r="K350" i="1"/>
  <c r="J350" i="1"/>
  <c r="I350" i="1"/>
  <c r="H350" i="1"/>
  <c r="G350" i="1" s="1"/>
  <c r="O349" i="1"/>
  <c r="N349" i="1"/>
  <c r="M349" i="1"/>
  <c r="L349" i="1"/>
  <c r="K349" i="1"/>
  <c r="J349" i="1"/>
  <c r="I349" i="1"/>
  <c r="H349" i="1"/>
  <c r="G349" i="1" s="1"/>
  <c r="O348" i="1"/>
  <c r="N348" i="1"/>
  <c r="M348" i="1"/>
  <c r="L348" i="1"/>
  <c r="K348" i="1"/>
  <c r="J348" i="1"/>
  <c r="I348" i="1"/>
  <c r="H348" i="1"/>
  <c r="G348" i="1" s="1"/>
  <c r="O347" i="1"/>
  <c r="N347" i="1"/>
  <c r="M347" i="1"/>
  <c r="L347" i="1"/>
  <c r="K347" i="1"/>
  <c r="J347" i="1"/>
  <c r="I347" i="1"/>
  <c r="H347" i="1"/>
  <c r="G347" i="1" s="1"/>
  <c r="O346" i="1"/>
  <c r="N346" i="1"/>
  <c r="M346" i="1"/>
  <c r="L346" i="1"/>
  <c r="K346" i="1"/>
  <c r="J346" i="1"/>
  <c r="I346" i="1"/>
  <c r="H346" i="1"/>
  <c r="G346" i="1" s="1"/>
  <c r="O345" i="1"/>
  <c r="N345" i="1"/>
  <c r="M345" i="1"/>
  <c r="L345" i="1"/>
  <c r="K345" i="1"/>
  <c r="J345" i="1"/>
  <c r="I345" i="1"/>
  <c r="H345" i="1"/>
  <c r="G345" i="1" s="1"/>
  <c r="O344" i="1"/>
  <c r="N344" i="1"/>
  <c r="M344" i="1"/>
  <c r="L344" i="1"/>
  <c r="K344" i="1"/>
  <c r="J344" i="1"/>
  <c r="I344" i="1"/>
  <c r="H344" i="1"/>
  <c r="G344" i="1" s="1"/>
  <c r="O343" i="1"/>
  <c r="N343" i="1"/>
  <c r="M343" i="1"/>
  <c r="L343" i="1"/>
  <c r="K343" i="1"/>
  <c r="J343" i="1"/>
  <c r="I343" i="1"/>
  <c r="H343" i="1"/>
  <c r="G343" i="1" s="1"/>
  <c r="O342" i="1"/>
  <c r="N342" i="1"/>
  <c r="M342" i="1"/>
  <c r="L342" i="1"/>
  <c r="K342" i="1"/>
  <c r="J342" i="1"/>
  <c r="I342" i="1"/>
  <c r="H342" i="1"/>
  <c r="G342" i="1" s="1"/>
  <c r="O341" i="1"/>
  <c r="N341" i="1"/>
  <c r="M341" i="1"/>
  <c r="L341" i="1"/>
  <c r="K341" i="1"/>
  <c r="J341" i="1"/>
  <c r="I341" i="1"/>
  <c r="H341" i="1"/>
  <c r="G341" i="1" s="1"/>
  <c r="O340" i="1"/>
  <c r="N340" i="1"/>
  <c r="M340" i="1"/>
  <c r="L340" i="1"/>
  <c r="K340" i="1"/>
  <c r="J340" i="1"/>
  <c r="I340" i="1"/>
  <c r="H340" i="1"/>
  <c r="G340" i="1" s="1"/>
  <c r="O339" i="1"/>
  <c r="N339" i="1"/>
  <c r="M339" i="1"/>
  <c r="L339" i="1"/>
  <c r="K339" i="1"/>
  <c r="J339" i="1"/>
  <c r="I339" i="1"/>
  <c r="H339" i="1"/>
  <c r="G339" i="1" s="1"/>
  <c r="O338" i="1"/>
  <c r="N338" i="1"/>
  <c r="M338" i="1"/>
  <c r="L338" i="1"/>
  <c r="K338" i="1"/>
  <c r="J338" i="1"/>
  <c r="I338" i="1"/>
  <c r="H338" i="1"/>
  <c r="G338" i="1" s="1"/>
  <c r="O337" i="1"/>
  <c r="N337" i="1"/>
  <c r="M337" i="1"/>
  <c r="L337" i="1"/>
  <c r="K337" i="1"/>
  <c r="J337" i="1"/>
  <c r="I337" i="1"/>
  <c r="H337" i="1"/>
  <c r="G337" i="1" s="1"/>
  <c r="O336" i="1"/>
  <c r="N336" i="1"/>
  <c r="M336" i="1"/>
  <c r="L336" i="1"/>
  <c r="K336" i="1"/>
  <c r="J336" i="1"/>
  <c r="I336" i="1"/>
  <c r="H336" i="1"/>
  <c r="G336" i="1" s="1"/>
  <c r="O335" i="1"/>
  <c r="N335" i="1"/>
  <c r="M335" i="1"/>
  <c r="L335" i="1"/>
  <c r="K335" i="1"/>
  <c r="J335" i="1"/>
  <c r="I335" i="1"/>
  <c r="H335" i="1"/>
  <c r="G335" i="1" s="1"/>
  <c r="O334" i="1"/>
  <c r="N334" i="1"/>
  <c r="M334" i="1"/>
  <c r="L334" i="1"/>
  <c r="K334" i="1"/>
  <c r="J334" i="1"/>
  <c r="I334" i="1"/>
  <c r="H334" i="1"/>
  <c r="G334" i="1" s="1"/>
  <c r="O333" i="1"/>
  <c r="N333" i="1"/>
  <c r="M333" i="1"/>
  <c r="L333" i="1"/>
  <c r="K333" i="1"/>
  <c r="J333" i="1"/>
  <c r="I333" i="1"/>
  <c r="H333" i="1"/>
  <c r="G333" i="1" s="1"/>
  <c r="O332" i="1"/>
  <c r="N332" i="1"/>
  <c r="M332" i="1"/>
  <c r="L332" i="1"/>
  <c r="K332" i="1"/>
  <c r="J332" i="1"/>
  <c r="I332" i="1"/>
  <c r="H332" i="1"/>
  <c r="G332" i="1" s="1"/>
  <c r="O331" i="1"/>
  <c r="N331" i="1"/>
  <c r="M331" i="1"/>
  <c r="L331" i="1"/>
  <c r="K331" i="1"/>
  <c r="J331" i="1"/>
  <c r="I331" i="1"/>
  <c r="H331" i="1"/>
  <c r="G331" i="1" s="1"/>
  <c r="O330" i="1"/>
  <c r="N330" i="1"/>
  <c r="M330" i="1"/>
  <c r="L330" i="1"/>
  <c r="K330" i="1"/>
  <c r="J330" i="1"/>
  <c r="I330" i="1"/>
  <c r="H330" i="1"/>
  <c r="G330" i="1" s="1"/>
  <c r="O329" i="1"/>
  <c r="N329" i="1"/>
  <c r="M329" i="1"/>
  <c r="L329" i="1"/>
  <c r="K329" i="1"/>
  <c r="J329" i="1"/>
  <c r="I329" i="1"/>
  <c r="H329" i="1"/>
  <c r="G329" i="1" s="1"/>
  <c r="O328" i="1"/>
  <c r="N328" i="1"/>
  <c r="M328" i="1"/>
  <c r="L328" i="1"/>
  <c r="K328" i="1"/>
  <c r="J328" i="1"/>
  <c r="I328" i="1"/>
  <c r="H328" i="1"/>
  <c r="G328" i="1" s="1"/>
  <c r="O327" i="1"/>
  <c r="N327" i="1"/>
  <c r="M327" i="1"/>
  <c r="L327" i="1"/>
  <c r="K327" i="1"/>
  <c r="J327" i="1"/>
  <c r="I327" i="1"/>
  <c r="H327" i="1"/>
  <c r="G327" i="1" s="1"/>
  <c r="O326" i="1"/>
  <c r="N326" i="1"/>
  <c r="M326" i="1"/>
  <c r="L326" i="1"/>
  <c r="K326" i="1"/>
  <c r="J326" i="1"/>
  <c r="I326" i="1"/>
  <c r="H326" i="1"/>
  <c r="G326" i="1" s="1"/>
  <c r="O325" i="1"/>
  <c r="N325" i="1"/>
  <c r="M325" i="1"/>
  <c r="L325" i="1"/>
  <c r="K325" i="1"/>
  <c r="J325" i="1"/>
  <c r="I325" i="1"/>
  <c r="H325" i="1"/>
  <c r="G325" i="1" s="1"/>
  <c r="O324" i="1"/>
  <c r="N324" i="1"/>
  <c r="M324" i="1"/>
  <c r="L324" i="1"/>
  <c r="K324" i="1"/>
  <c r="J324" i="1"/>
  <c r="I324" i="1"/>
  <c r="H324" i="1"/>
  <c r="G324" i="1" s="1"/>
  <c r="O323" i="1"/>
  <c r="N323" i="1"/>
  <c r="M323" i="1"/>
  <c r="L323" i="1"/>
  <c r="K323" i="1"/>
  <c r="J323" i="1"/>
  <c r="I323" i="1"/>
  <c r="H323" i="1"/>
  <c r="G323" i="1" s="1"/>
  <c r="O322" i="1"/>
  <c r="N322" i="1"/>
  <c r="M322" i="1"/>
  <c r="L322" i="1"/>
  <c r="K322" i="1"/>
  <c r="J322" i="1"/>
  <c r="I322" i="1"/>
  <c r="H322" i="1"/>
  <c r="G322" i="1" s="1"/>
  <c r="O321" i="1"/>
  <c r="N321" i="1"/>
  <c r="M321" i="1"/>
  <c r="L321" i="1"/>
  <c r="K321" i="1"/>
  <c r="J321" i="1"/>
  <c r="I321" i="1"/>
  <c r="H321" i="1"/>
  <c r="G321" i="1" s="1"/>
  <c r="O320" i="1"/>
  <c r="N320" i="1"/>
  <c r="M320" i="1"/>
  <c r="L320" i="1"/>
  <c r="K320" i="1"/>
  <c r="J320" i="1"/>
  <c r="I320" i="1"/>
  <c r="H320" i="1"/>
  <c r="G320" i="1" s="1"/>
  <c r="O319" i="1"/>
  <c r="N319" i="1"/>
  <c r="M319" i="1"/>
  <c r="L319" i="1"/>
  <c r="K319" i="1"/>
  <c r="J319" i="1"/>
  <c r="I319" i="1"/>
  <c r="H319" i="1"/>
  <c r="G319" i="1" s="1"/>
  <c r="O318" i="1"/>
  <c r="N318" i="1"/>
  <c r="M318" i="1"/>
  <c r="L318" i="1"/>
  <c r="K318" i="1"/>
  <c r="J318" i="1"/>
  <c r="I318" i="1"/>
  <c r="H318" i="1"/>
  <c r="G318" i="1" s="1"/>
  <c r="O317" i="1"/>
  <c r="N317" i="1"/>
  <c r="M317" i="1"/>
  <c r="L317" i="1"/>
  <c r="K317" i="1"/>
  <c r="J317" i="1"/>
  <c r="I317" i="1"/>
  <c r="H317" i="1"/>
  <c r="G317" i="1" s="1"/>
  <c r="O316" i="1"/>
  <c r="N316" i="1"/>
  <c r="M316" i="1"/>
  <c r="L316" i="1"/>
  <c r="K316" i="1"/>
  <c r="J316" i="1"/>
  <c r="I316" i="1"/>
  <c r="H316" i="1"/>
  <c r="G316" i="1" s="1"/>
  <c r="O315" i="1"/>
  <c r="N315" i="1"/>
  <c r="M315" i="1"/>
  <c r="L315" i="1"/>
  <c r="K315" i="1"/>
  <c r="J315" i="1"/>
  <c r="I315" i="1"/>
  <c r="H315" i="1"/>
  <c r="G315" i="1" s="1"/>
  <c r="O314" i="1"/>
  <c r="N314" i="1"/>
  <c r="M314" i="1"/>
  <c r="L314" i="1"/>
  <c r="K314" i="1"/>
  <c r="J314" i="1"/>
  <c r="I314" i="1"/>
  <c r="H314" i="1"/>
  <c r="G314" i="1" s="1"/>
  <c r="O313" i="1"/>
  <c r="N313" i="1"/>
  <c r="M313" i="1"/>
  <c r="L313" i="1"/>
  <c r="K313" i="1"/>
  <c r="J313" i="1"/>
  <c r="I313" i="1"/>
  <c r="H313" i="1"/>
  <c r="G313" i="1" s="1"/>
  <c r="O312" i="1"/>
  <c r="N312" i="1"/>
  <c r="M312" i="1"/>
  <c r="L312" i="1"/>
  <c r="K312" i="1"/>
  <c r="J312" i="1"/>
  <c r="I312" i="1"/>
  <c r="H312" i="1"/>
  <c r="G312" i="1" s="1"/>
  <c r="O311" i="1"/>
  <c r="N311" i="1"/>
  <c r="M311" i="1"/>
  <c r="L311" i="1"/>
  <c r="K311" i="1"/>
  <c r="J311" i="1"/>
  <c r="I311" i="1"/>
  <c r="H311" i="1"/>
  <c r="G311" i="1" s="1"/>
  <c r="O310" i="1"/>
  <c r="N310" i="1"/>
  <c r="M310" i="1"/>
  <c r="L310" i="1"/>
  <c r="K310" i="1"/>
  <c r="J310" i="1"/>
  <c r="I310" i="1"/>
  <c r="H310" i="1"/>
  <c r="G310" i="1" s="1"/>
  <c r="O309" i="1"/>
  <c r="N309" i="1"/>
  <c r="M309" i="1"/>
  <c r="L309" i="1"/>
  <c r="K309" i="1"/>
  <c r="J309" i="1"/>
  <c r="I309" i="1"/>
  <c r="H309" i="1"/>
  <c r="G309" i="1" s="1"/>
  <c r="O308" i="1"/>
  <c r="N308" i="1"/>
  <c r="M308" i="1"/>
  <c r="L308" i="1"/>
  <c r="K308" i="1"/>
  <c r="J308" i="1"/>
  <c r="I308" i="1"/>
  <c r="H308" i="1"/>
  <c r="G308" i="1" s="1"/>
  <c r="O307" i="1"/>
  <c r="N307" i="1"/>
  <c r="M307" i="1"/>
  <c r="L307" i="1"/>
  <c r="K307" i="1"/>
  <c r="J307" i="1"/>
  <c r="I307" i="1"/>
  <c r="H307" i="1"/>
  <c r="G307" i="1" s="1"/>
  <c r="O306" i="1"/>
  <c r="N306" i="1"/>
  <c r="M306" i="1"/>
  <c r="L306" i="1"/>
  <c r="K306" i="1"/>
  <c r="J306" i="1"/>
  <c r="I306" i="1"/>
  <c r="H306" i="1"/>
  <c r="G306" i="1" s="1"/>
  <c r="O305" i="1"/>
  <c r="N305" i="1"/>
  <c r="M305" i="1"/>
  <c r="L305" i="1"/>
  <c r="K305" i="1"/>
  <c r="J305" i="1"/>
  <c r="I305" i="1"/>
  <c r="H305" i="1"/>
  <c r="G305" i="1" s="1"/>
  <c r="O304" i="1"/>
  <c r="N304" i="1"/>
  <c r="M304" i="1"/>
  <c r="L304" i="1"/>
  <c r="K304" i="1"/>
  <c r="J304" i="1"/>
  <c r="I304" i="1"/>
  <c r="H304" i="1"/>
  <c r="G304" i="1" s="1"/>
  <c r="O303" i="1"/>
  <c r="N303" i="1"/>
  <c r="M303" i="1"/>
  <c r="L303" i="1"/>
  <c r="K303" i="1"/>
  <c r="J303" i="1"/>
  <c r="I303" i="1"/>
  <c r="H303" i="1"/>
  <c r="G303" i="1" s="1"/>
  <c r="O302" i="1"/>
  <c r="N302" i="1"/>
  <c r="M302" i="1"/>
  <c r="L302" i="1"/>
  <c r="K302" i="1"/>
  <c r="J302" i="1"/>
  <c r="I302" i="1"/>
  <c r="H302" i="1"/>
  <c r="G302" i="1" s="1"/>
  <c r="O301" i="1"/>
  <c r="N301" i="1"/>
  <c r="M301" i="1"/>
  <c r="L301" i="1"/>
  <c r="K301" i="1"/>
  <c r="J301" i="1"/>
  <c r="I301" i="1"/>
  <c r="H301" i="1"/>
  <c r="G301" i="1" s="1"/>
  <c r="O300" i="1"/>
  <c r="N300" i="1"/>
  <c r="M300" i="1"/>
  <c r="L300" i="1"/>
  <c r="K300" i="1"/>
  <c r="J300" i="1"/>
  <c r="I300" i="1"/>
  <c r="H300" i="1"/>
  <c r="G300" i="1" s="1"/>
  <c r="O299" i="1"/>
  <c r="N299" i="1"/>
  <c r="M299" i="1"/>
  <c r="L299" i="1"/>
  <c r="K299" i="1"/>
  <c r="J299" i="1"/>
  <c r="I299" i="1"/>
  <c r="H299" i="1"/>
  <c r="G299" i="1" s="1"/>
  <c r="O298" i="1"/>
  <c r="N298" i="1"/>
  <c r="M298" i="1"/>
  <c r="L298" i="1"/>
  <c r="K298" i="1"/>
  <c r="J298" i="1"/>
  <c r="I298" i="1"/>
  <c r="H298" i="1"/>
  <c r="G298" i="1" s="1"/>
  <c r="O297" i="1"/>
  <c r="N297" i="1"/>
  <c r="M297" i="1"/>
  <c r="L297" i="1"/>
  <c r="K297" i="1"/>
  <c r="J297" i="1"/>
  <c r="I297" i="1"/>
  <c r="H297" i="1"/>
  <c r="G297" i="1" s="1"/>
  <c r="O296" i="1"/>
  <c r="N296" i="1"/>
  <c r="M296" i="1"/>
  <c r="L296" i="1"/>
  <c r="K296" i="1"/>
  <c r="J296" i="1"/>
  <c r="I296" i="1"/>
  <c r="H296" i="1"/>
  <c r="G296" i="1" s="1"/>
  <c r="O295" i="1"/>
  <c r="N295" i="1"/>
  <c r="M295" i="1"/>
  <c r="L295" i="1"/>
  <c r="K295" i="1"/>
  <c r="J295" i="1"/>
  <c r="I295" i="1"/>
  <c r="H295" i="1"/>
  <c r="G295" i="1" s="1"/>
  <c r="O294" i="1"/>
  <c r="N294" i="1"/>
  <c r="M294" i="1"/>
  <c r="L294" i="1"/>
  <c r="K294" i="1"/>
  <c r="J294" i="1"/>
  <c r="I294" i="1"/>
  <c r="H294" i="1"/>
  <c r="G294" i="1" s="1"/>
  <c r="O293" i="1"/>
  <c r="N293" i="1"/>
  <c r="M293" i="1"/>
  <c r="L293" i="1"/>
  <c r="K293" i="1"/>
  <c r="J293" i="1"/>
  <c r="I293" i="1"/>
  <c r="H293" i="1"/>
  <c r="G293" i="1" s="1"/>
  <c r="O292" i="1"/>
  <c r="N292" i="1"/>
  <c r="M292" i="1"/>
  <c r="L292" i="1"/>
  <c r="K292" i="1"/>
  <c r="J292" i="1"/>
  <c r="I292" i="1"/>
  <c r="H292" i="1"/>
  <c r="G292" i="1" s="1"/>
  <c r="O291" i="1"/>
  <c r="N291" i="1"/>
  <c r="M291" i="1"/>
  <c r="L291" i="1"/>
  <c r="K291" i="1"/>
  <c r="J291" i="1"/>
  <c r="I291" i="1"/>
  <c r="H291" i="1"/>
  <c r="G291" i="1" s="1"/>
  <c r="O290" i="1"/>
  <c r="N290" i="1"/>
  <c r="M290" i="1"/>
  <c r="L290" i="1"/>
  <c r="K290" i="1"/>
  <c r="J290" i="1"/>
  <c r="I290" i="1"/>
  <c r="H290" i="1"/>
  <c r="G290" i="1" s="1"/>
  <c r="O289" i="1"/>
  <c r="N289" i="1"/>
  <c r="M289" i="1"/>
  <c r="L289" i="1"/>
  <c r="K289" i="1"/>
  <c r="J289" i="1"/>
  <c r="I289" i="1"/>
  <c r="H289" i="1"/>
  <c r="G289" i="1" s="1"/>
  <c r="O288" i="1"/>
  <c r="N288" i="1"/>
  <c r="M288" i="1"/>
  <c r="L288" i="1"/>
  <c r="K288" i="1"/>
  <c r="J288" i="1"/>
  <c r="I288" i="1"/>
  <c r="H288" i="1"/>
  <c r="G288" i="1" s="1"/>
  <c r="O287" i="1"/>
  <c r="N287" i="1"/>
  <c r="M287" i="1"/>
  <c r="L287" i="1"/>
  <c r="K287" i="1"/>
  <c r="J287" i="1"/>
  <c r="I287" i="1"/>
  <c r="H287" i="1"/>
  <c r="G287" i="1" s="1"/>
  <c r="O286" i="1"/>
  <c r="N286" i="1"/>
  <c r="M286" i="1"/>
  <c r="L286" i="1"/>
  <c r="K286" i="1"/>
  <c r="J286" i="1"/>
  <c r="I286" i="1"/>
  <c r="H286" i="1"/>
  <c r="G286" i="1" s="1"/>
  <c r="O285" i="1"/>
  <c r="N285" i="1"/>
  <c r="M285" i="1"/>
  <c r="L285" i="1"/>
  <c r="K285" i="1"/>
  <c r="J285" i="1"/>
  <c r="I285" i="1"/>
  <c r="H285" i="1"/>
  <c r="G285" i="1" s="1"/>
  <c r="O284" i="1"/>
  <c r="N284" i="1"/>
  <c r="M284" i="1"/>
  <c r="L284" i="1"/>
  <c r="K284" i="1"/>
  <c r="J284" i="1"/>
  <c r="I284" i="1"/>
  <c r="H284" i="1"/>
  <c r="G284" i="1" s="1"/>
  <c r="O283" i="1"/>
  <c r="N283" i="1"/>
  <c r="M283" i="1"/>
  <c r="L283" i="1"/>
  <c r="K283" i="1"/>
  <c r="J283" i="1"/>
  <c r="I283" i="1"/>
  <c r="H283" i="1"/>
  <c r="G283" i="1" s="1"/>
  <c r="O282" i="1"/>
  <c r="N282" i="1"/>
  <c r="M282" i="1"/>
  <c r="L282" i="1"/>
  <c r="K282" i="1"/>
  <c r="J282" i="1"/>
  <c r="I282" i="1"/>
  <c r="H282" i="1"/>
  <c r="G282" i="1" s="1"/>
  <c r="O281" i="1"/>
  <c r="N281" i="1"/>
  <c r="M281" i="1"/>
  <c r="L281" i="1"/>
  <c r="K281" i="1"/>
  <c r="J281" i="1"/>
  <c r="I281" i="1"/>
  <c r="H281" i="1"/>
  <c r="G281" i="1" s="1"/>
  <c r="O280" i="1"/>
  <c r="N280" i="1"/>
  <c r="M280" i="1"/>
  <c r="L280" i="1"/>
  <c r="K280" i="1"/>
  <c r="J280" i="1"/>
  <c r="I280" i="1"/>
  <c r="H280" i="1"/>
  <c r="G280" i="1" s="1"/>
  <c r="O279" i="1"/>
  <c r="N279" i="1"/>
  <c r="M279" i="1"/>
  <c r="L279" i="1"/>
  <c r="K279" i="1"/>
  <c r="J279" i="1"/>
  <c r="I279" i="1"/>
  <c r="H279" i="1"/>
  <c r="G279" i="1" s="1"/>
  <c r="O278" i="1"/>
  <c r="N278" i="1"/>
  <c r="M278" i="1"/>
  <c r="L278" i="1"/>
  <c r="K278" i="1"/>
  <c r="J278" i="1"/>
  <c r="I278" i="1"/>
  <c r="H278" i="1"/>
  <c r="G278" i="1" s="1"/>
  <c r="O277" i="1"/>
  <c r="N277" i="1"/>
  <c r="M277" i="1"/>
  <c r="L277" i="1"/>
  <c r="K277" i="1"/>
  <c r="J277" i="1"/>
  <c r="I277" i="1"/>
  <c r="H277" i="1"/>
  <c r="G277" i="1" s="1"/>
  <c r="O276" i="1"/>
  <c r="N276" i="1"/>
  <c r="M276" i="1"/>
  <c r="L276" i="1"/>
  <c r="K276" i="1"/>
  <c r="J276" i="1"/>
  <c r="I276" i="1"/>
  <c r="H276" i="1"/>
  <c r="G276" i="1" s="1"/>
  <c r="O275" i="1"/>
  <c r="N275" i="1"/>
  <c r="M275" i="1"/>
  <c r="L275" i="1"/>
  <c r="K275" i="1"/>
  <c r="J275" i="1"/>
  <c r="I275" i="1"/>
  <c r="H275" i="1"/>
  <c r="G275" i="1" s="1"/>
  <c r="O274" i="1"/>
  <c r="N274" i="1"/>
  <c r="M274" i="1"/>
  <c r="L274" i="1"/>
  <c r="K274" i="1"/>
  <c r="J274" i="1"/>
  <c r="I274" i="1"/>
  <c r="H274" i="1"/>
  <c r="G274" i="1" s="1"/>
  <c r="O273" i="1"/>
  <c r="N273" i="1"/>
  <c r="M273" i="1"/>
  <c r="L273" i="1"/>
  <c r="K273" i="1"/>
  <c r="J273" i="1"/>
  <c r="I273" i="1"/>
  <c r="H273" i="1"/>
  <c r="G273" i="1" s="1"/>
  <c r="O272" i="1"/>
  <c r="N272" i="1"/>
  <c r="M272" i="1"/>
  <c r="L272" i="1"/>
  <c r="K272" i="1"/>
  <c r="J272" i="1"/>
  <c r="I272" i="1"/>
  <c r="H272" i="1"/>
  <c r="G272" i="1" s="1"/>
  <c r="O271" i="1"/>
  <c r="N271" i="1"/>
  <c r="M271" i="1"/>
  <c r="L271" i="1"/>
  <c r="K271" i="1"/>
  <c r="J271" i="1"/>
  <c r="I271" i="1"/>
  <c r="H271" i="1"/>
  <c r="G271" i="1" s="1"/>
  <c r="O270" i="1"/>
  <c r="N270" i="1"/>
  <c r="M270" i="1"/>
  <c r="L270" i="1"/>
  <c r="K270" i="1"/>
  <c r="J270" i="1"/>
  <c r="I270" i="1"/>
  <c r="H270" i="1"/>
  <c r="G270" i="1" s="1"/>
  <c r="O269" i="1"/>
  <c r="N269" i="1"/>
  <c r="M269" i="1"/>
  <c r="L269" i="1"/>
  <c r="K269" i="1"/>
  <c r="J269" i="1"/>
  <c r="I269" i="1"/>
  <c r="H269" i="1"/>
  <c r="G269" i="1" s="1"/>
  <c r="O268" i="1"/>
  <c r="N268" i="1"/>
  <c r="M268" i="1"/>
  <c r="L268" i="1"/>
  <c r="K268" i="1"/>
  <c r="J268" i="1"/>
  <c r="I268" i="1"/>
  <c r="H268" i="1"/>
  <c r="G268" i="1" s="1"/>
  <c r="O267" i="1"/>
  <c r="N267" i="1"/>
  <c r="M267" i="1"/>
  <c r="L267" i="1"/>
  <c r="K267" i="1"/>
  <c r="J267" i="1"/>
  <c r="I267" i="1"/>
  <c r="H267" i="1"/>
  <c r="G267" i="1" s="1"/>
  <c r="O266" i="1"/>
  <c r="N266" i="1"/>
  <c r="M266" i="1"/>
  <c r="L266" i="1"/>
  <c r="K266" i="1"/>
  <c r="J266" i="1"/>
  <c r="I266" i="1"/>
  <c r="H266" i="1"/>
  <c r="G266" i="1" s="1"/>
  <c r="O265" i="1"/>
  <c r="N265" i="1"/>
  <c r="M265" i="1"/>
  <c r="L265" i="1"/>
  <c r="K265" i="1"/>
  <c r="J265" i="1"/>
  <c r="I265" i="1"/>
  <c r="H265" i="1"/>
  <c r="G265" i="1" s="1"/>
  <c r="O264" i="1"/>
  <c r="N264" i="1"/>
  <c r="M264" i="1"/>
  <c r="L264" i="1"/>
  <c r="K264" i="1"/>
  <c r="J264" i="1"/>
  <c r="I264" i="1"/>
  <c r="H264" i="1"/>
  <c r="G264" i="1" s="1"/>
  <c r="O263" i="1"/>
  <c r="N263" i="1"/>
  <c r="M263" i="1"/>
  <c r="L263" i="1"/>
  <c r="K263" i="1"/>
  <c r="J263" i="1"/>
  <c r="I263" i="1"/>
  <c r="H263" i="1"/>
  <c r="G263" i="1" s="1"/>
  <c r="O262" i="1"/>
  <c r="N262" i="1"/>
  <c r="M262" i="1"/>
  <c r="L262" i="1"/>
  <c r="K262" i="1"/>
  <c r="J262" i="1"/>
  <c r="I262" i="1"/>
  <c r="H262" i="1"/>
  <c r="G262" i="1" s="1"/>
  <c r="O261" i="1"/>
  <c r="N261" i="1"/>
  <c r="M261" i="1"/>
  <c r="L261" i="1"/>
  <c r="K261" i="1"/>
  <c r="J261" i="1"/>
  <c r="I261" i="1"/>
  <c r="H261" i="1"/>
  <c r="G261" i="1" s="1"/>
  <c r="O260" i="1"/>
  <c r="N260" i="1"/>
  <c r="M260" i="1"/>
  <c r="L260" i="1"/>
  <c r="K260" i="1"/>
  <c r="J260" i="1"/>
  <c r="I260" i="1"/>
  <c r="H260" i="1"/>
  <c r="G260" i="1" s="1"/>
  <c r="O259" i="1"/>
  <c r="N259" i="1"/>
  <c r="M259" i="1"/>
  <c r="L259" i="1"/>
  <c r="K259" i="1"/>
  <c r="J259" i="1"/>
  <c r="I259" i="1"/>
  <c r="H259" i="1"/>
  <c r="G259" i="1" s="1"/>
  <c r="O258" i="1"/>
  <c r="N258" i="1"/>
  <c r="M258" i="1"/>
  <c r="L258" i="1"/>
  <c r="K258" i="1"/>
  <c r="J258" i="1"/>
  <c r="I258" i="1"/>
  <c r="H258" i="1"/>
  <c r="G258" i="1" s="1"/>
  <c r="O257" i="1"/>
  <c r="N257" i="1"/>
  <c r="M257" i="1"/>
  <c r="L257" i="1"/>
  <c r="K257" i="1"/>
  <c r="J257" i="1"/>
  <c r="I257" i="1"/>
  <c r="H257" i="1"/>
  <c r="G257" i="1" s="1"/>
  <c r="O256" i="1"/>
  <c r="N256" i="1"/>
  <c r="M256" i="1"/>
  <c r="L256" i="1"/>
  <c r="K256" i="1"/>
  <c r="J256" i="1"/>
  <c r="I256" i="1"/>
  <c r="H256" i="1"/>
  <c r="G256" i="1" s="1"/>
  <c r="O255" i="1"/>
  <c r="N255" i="1"/>
  <c r="M255" i="1"/>
  <c r="L255" i="1"/>
  <c r="K255" i="1"/>
  <c r="J255" i="1"/>
  <c r="I255" i="1"/>
  <c r="H255" i="1"/>
  <c r="G255" i="1" s="1"/>
  <c r="O254" i="1"/>
  <c r="N254" i="1"/>
  <c r="M254" i="1"/>
  <c r="L254" i="1"/>
  <c r="K254" i="1"/>
  <c r="J254" i="1"/>
  <c r="I254" i="1"/>
  <c r="H254" i="1"/>
  <c r="G254" i="1" s="1"/>
  <c r="O253" i="1"/>
  <c r="N253" i="1"/>
  <c r="M253" i="1"/>
  <c r="L253" i="1"/>
  <c r="K253" i="1"/>
  <c r="J253" i="1"/>
  <c r="I253" i="1"/>
  <c r="H253" i="1"/>
  <c r="G253" i="1" s="1"/>
  <c r="O252" i="1"/>
  <c r="N252" i="1"/>
  <c r="M252" i="1"/>
  <c r="L252" i="1"/>
  <c r="K252" i="1"/>
  <c r="J252" i="1"/>
  <c r="I252" i="1"/>
  <c r="H252" i="1"/>
  <c r="G252" i="1" s="1"/>
  <c r="O251" i="1"/>
  <c r="N251" i="1"/>
  <c r="M251" i="1"/>
  <c r="L251" i="1"/>
  <c r="K251" i="1"/>
  <c r="J251" i="1"/>
  <c r="I251" i="1"/>
  <c r="H251" i="1"/>
  <c r="G251" i="1" s="1"/>
  <c r="O250" i="1"/>
  <c r="N250" i="1"/>
  <c r="M250" i="1"/>
  <c r="L250" i="1"/>
  <c r="K250" i="1"/>
  <c r="J250" i="1"/>
  <c r="I250" i="1"/>
  <c r="H250" i="1"/>
  <c r="G250" i="1" s="1"/>
  <c r="O249" i="1"/>
  <c r="N249" i="1"/>
  <c r="M249" i="1"/>
  <c r="L249" i="1"/>
  <c r="K249" i="1"/>
  <c r="J249" i="1"/>
  <c r="I249" i="1"/>
  <c r="H249" i="1"/>
  <c r="G249" i="1" s="1"/>
  <c r="O248" i="1"/>
  <c r="N248" i="1"/>
  <c r="M248" i="1"/>
  <c r="L248" i="1"/>
  <c r="K248" i="1"/>
  <c r="J248" i="1"/>
  <c r="I248" i="1"/>
  <c r="H248" i="1"/>
  <c r="G248" i="1" s="1"/>
  <c r="O247" i="1"/>
  <c r="N247" i="1"/>
  <c r="M247" i="1"/>
  <c r="L247" i="1"/>
  <c r="K247" i="1"/>
  <c r="J247" i="1"/>
  <c r="I247" i="1"/>
  <c r="H247" i="1"/>
  <c r="G247" i="1" s="1"/>
  <c r="O246" i="1"/>
  <c r="N246" i="1"/>
  <c r="M246" i="1"/>
  <c r="L246" i="1"/>
  <c r="K246" i="1"/>
  <c r="J246" i="1"/>
  <c r="I246" i="1"/>
  <c r="H246" i="1"/>
  <c r="G246" i="1" s="1"/>
  <c r="O245" i="1"/>
  <c r="N245" i="1"/>
  <c r="M245" i="1"/>
  <c r="L245" i="1"/>
  <c r="K245" i="1"/>
  <c r="J245" i="1"/>
  <c r="I245" i="1"/>
  <c r="H245" i="1"/>
  <c r="G245" i="1" s="1"/>
  <c r="O244" i="1"/>
  <c r="N244" i="1"/>
  <c r="M244" i="1"/>
  <c r="L244" i="1"/>
  <c r="K244" i="1"/>
  <c r="J244" i="1"/>
  <c r="I244" i="1"/>
  <c r="H244" i="1"/>
  <c r="G244" i="1" s="1"/>
  <c r="O243" i="1"/>
  <c r="N243" i="1"/>
  <c r="M243" i="1"/>
  <c r="L243" i="1"/>
  <c r="K243" i="1"/>
  <c r="J243" i="1"/>
  <c r="I243" i="1"/>
  <c r="H243" i="1"/>
  <c r="G243" i="1" s="1"/>
  <c r="O242" i="1"/>
  <c r="N242" i="1"/>
  <c r="M242" i="1"/>
  <c r="L242" i="1"/>
  <c r="K242" i="1"/>
  <c r="J242" i="1"/>
  <c r="I242" i="1"/>
  <c r="H242" i="1"/>
  <c r="G242" i="1" s="1"/>
  <c r="O241" i="1"/>
  <c r="N241" i="1"/>
  <c r="M241" i="1"/>
  <c r="L241" i="1"/>
  <c r="K241" i="1"/>
  <c r="J241" i="1"/>
  <c r="I241" i="1"/>
  <c r="H241" i="1"/>
  <c r="G241" i="1" s="1"/>
  <c r="O240" i="1"/>
  <c r="N240" i="1"/>
  <c r="M240" i="1"/>
  <c r="L240" i="1"/>
  <c r="K240" i="1"/>
  <c r="J240" i="1"/>
  <c r="I240" i="1"/>
  <c r="H240" i="1"/>
  <c r="G240" i="1" s="1"/>
  <c r="O239" i="1"/>
  <c r="N239" i="1"/>
  <c r="M239" i="1"/>
  <c r="L239" i="1"/>
  <c r="K239" i="1"/>
  <c r="J239" i="1"/>
  <c r="I239" i="1"/>
  <c r="H239" i="1"/>
  <c r="G239" i="1" s="1"/>
  <c r="O238" i="1"/>
  <c r="N238" i="1"/>
  <c r="M238" i="1"/>
  <c r="L238" i="1"/>
  <c r="K238" i="1"/>
  <c r="J238" i="1"/>
  <c r="I238" i="1"/>
  <c r="H238" i="1"/>
  <c r="G238" i="1" s="1"/>
  <c r="O237" i="1"/>
  <c r="N237" i="1"/>
  <c r="M237" i="1"/>
  <c r="L237" i="1"/>
  <c r="K237" i="1"/>
  <c r="J237" i="1"/>
  <c r="I237" i="1"/>
  <c r="H237" i="1"/>
  <c r="G237" i="1" s="1"/>
  <c r="O236" i="1"/>
  <c r="N236" i="1"/>
  <c r="M236" i="1"/>
  <c r="L236" i="1"/>
  <c r="K236" i="1"/>
  <c r="J236" i="1"/>
  <c r="I236" i="1"/>
  <c r="H236" i="1"/>
  <c r="G236" i="1" s="1"/>
  <c r="O235" i="1"/>
  <c r="N235" i="1"/>
  <c r="M235" i="1"/>
  <c r="L235" i="1"/>
  <c r="K235" i="1"/>
  <c r="J235" i="1"/>
  <c r="I235" i="1"/>
  <c r="H235" i="1"/>
  <c r="G235" i="1" s="1"/>
  <c r="O234" i="1"/>
  <c r="N234" i="1"/>
  <c r="M234" i="1"/>
  <c r="L234" i="1"/>
  <c r="K234" i="1"/>
  <c r="J234" i="1"/>
  <c r="I234" i="1"/>
  <c r="H234" i="1"/>
  <c r="G234" i="1" s="1"/>
  <c r="O233" i="1"/>
  <c r="N233" i="1"/>
  <c r="M233" i="1"/>
  <c r="L233" i="1"/>
  <c r="K233" i="1"/>
  <c r="J233" i="1"/>
  <c r="I233" i="1"/>
  <c r="H233" i="1"/>
  <c r="G233" i="1" s="1"/>
  <c r="O232" i="1"/>
  <c r="N232" i="1"/>
  <c r="M232" i="1"/>
  <c r="L232" i="1"/>
  <c r="K232" i="1"/>
  <c r="J232" i="1"/>
  <c r="I232" i="1"/>
  <c r="H232" i="1"/>
  <c r="G232" i="1" s="1"/>
  <c r="O231" i="1"/>
  <c r="N231" i="1"/>
  <c r="M231" i="1"/>
  <c r="L231" i="1"/>
  <c r="K231" i="1"/>
  <c r="J231" i="1"/>
  <c r="I231" i="1"/>
  <c r="H231" i="1"/>
  <c r="G231" i="1" s="1"/>
  <c r="O230" i="1"/>
  <c r="N230" i="1"/>
  <c r="M230" i="1"/>
  <c r="L230" i="1"/>
  <c r="K230" i="1"/>
  <c r="J230" i="1"/>
  <c r="I230" i="1"/>
  <c r="H230" i="1"/>
  <c r="G230" i="1" s="1"/>
  <c r="O229" i="1"/>
  <c r="N229" i="1"/>
  <c r="M229" i="1"/>
  <c r="L229" i="1"/>
  <c r="K229" i="1"/>
  <c r="J229" i="1"/>
  <c r="I229" i="1"/>
  <c r="H229" i="1"/>
  <c r="G229" i="1" s="1"/>
  <c r="O228" i="1"/>
  <c r="N228" i="1"/>
  <c r="M228" i="1"/>
  <c r="L228" i="1"/>
  <c r="K228" i="1"/>
  <c r="J228" i="1"/>
  <c r="I228" i="1"/>
  <c r="H228" i="1"/>
  <c r="G228" i="1" s="1"/>
  <c r="O227" i="1"/>
  <c r="N227" i="1"/>
  <c r="M227" i="1"/>
  <c r="L227" i="1"/>
  <c r="K227" i="1"/>
  <c r="J227" i="1"/>
  <c r="I227" i="1"/>
  <c r="H227" i="1"/>
  <c r="G227" i="1" s="1"/>
  <c r="O226" i="1"/>
  <c r="N226" i="1"/>
  <c r="M226" i="1"/>
  <c r="L226" i="1"/>
  <c r="K226" i="1"/>
  <c r="J226" i="1"/>
  <c r="I226" i="1"/>
  <c r="H226" i="1"/>
  <c r="G226" i="1" s="1"/>
  <c r="O225" i="1"/>
  <c r="N225" i="1"/>
  <c r="M225" i="1"/>
  <c r="L225" i="1"/>
  <c r="K225" i="1"/>
  <c r="J225" i="1"/>
  <c r="I225" i="1"/>
  <c r="H225" i="1"/>
  <c r="G225" i="1" s="1"/>
  <c r="O224" i="1"/>
  <c r="N224" i="1"/>
  <c r="M224" i="1"/>
  <c r="L224" i="1"/>
  <c r="K224" i="1"/>
  <c r="J224" i="1"/>
  <c r="I224" i="1"/>
  <c r="H224" i="1"/>
  <c r="G224" i="1" s="1"/>
  <c r="O223" i="1"/>
  <c r="N223" i="1"/>
  <c r="M223" i="1"/>
  <c r="L223" i="1"/>
  <c r="K223" i="1"/>
  <c r="J223" i="1"/>
  <c r="I223" i="1"/>
  <c r="H223" i="1"/>
  <c r="G223" i="1" s="1"/>
  <c r="O222" i="1"/>
  <c r="N222" i="1"/>
  <c r="M222" i="1"/>
  <c r="L222" i="1"/>
  <c r="K222" i="1"/>
  <c r="J222" i="1"/>
  <c r="I222" i="1"/>
  <c r="H222" i="1"/>
  <c r="G222" i="1" s="1"/>
  <c r="O221" i="1"/>
  <c r="N221" i="1"/>
  <c r="M221" i="1"/>
  <c r="L221" i="1"/>
  <c r="K221" i="1"/>
  <c r="J221" i="1"/>
  <c r="I221" i="1"/>
  <c r="H221" i="1"/>
  <c r="G221" i="1" s="1"/>
  <c r="O220" i="1"/>
  <c r="N220" i="1"/>
  <c r="M220" i="1"/>
  <c r="L220" i="1"/>
  <c r="K220" i="1"/>
  <c r="J220" i="1"/>
  <c r="I220" i="1"/>
  <c r="H220" i="1"/>
  <c r="G220" i="1" s="1"/>
  <c r="O219" i="1"/>
  <c r="N219" i="1"/>
  <c r="M219" i="1"/>
  <c r="L219" i="1"/>
  <c r="K219" i="1"/>
  <c r="J219" i="1"/>
  <c r="I219" i="1"/>
  <c r="H219" i="1"/>
  <c r="G219" i="1" s="1"/>
  <c r="O218" i="1"/>
  <c r="N218" i="1"/>
  <c r="M218" i="1"/>
  <c r="L218" i="1"/>
  <c r="K218" i="1"/>
  <c r="J218" i="1"/>
  <c r="I218" i="1"/>
  <c r="H218" i="1"/>
  <c r="G218" i="1" s="1"/>
  <c r="O217" i="1"/>
  <c r="N217" i="1"/>
  <c r="M217" i="1"/>
  <c r="L217" i="1"/>
  <c r="K217" i="1"/>
  <c r="J217" i="1"/>
  <c r="I217" i="1"/>
  <c r="H217" i="1"/>
  <c r="G217" i="1" s="1"/>
  <c r="O216" i="1"/>
  <c r="N216" i="1"/>
  <c r="M216" i="1"/>
  <c r="L216" i="1"/>
  <c r="K216" i="1"/>
  <c r="J216" i="1"/>
  <c r="I216" i="1"/>
  <c r="H216" i="1"/>
  <c r="G216" i="1" s="1"/>
  <c r="O215" i="1"/>
  <c r="N215" i="1"/>
  <c r="M215" i="1"/>
  <c r="L215" i="1"/>
  <c r="K215" i="1"/>
  <c r="J215" i="1"/>
  <c r="I215" i="1"/>
  <c r="H215" i="1"/>
  <c r="G215" i="1" s="1"/>
  <c r="O214" i="1"/>
  <c r="N214" i="1"/>
  <c r="M214" i="1"/>
  <c r="L214" i="1"/>
  <c r="K214" i="1"/>
  <c r="J214" i="1"/>
  <c r="I214" i="1"/>
  <c r="H214" i="1"/>
  <c r="G214" i="1" s="1"/>
  <c r="O213" i="1"/>
  <c r="N213" i="1"/>
  <c r="M213" i="1"/>
  <c r="L213" i="1"/>
  <c r="K213" i="1"/>
  <c r="J213" i="1"/>
  <c r="I213" i="1"/>
  <c r="H213" i="1"/>
  <c r="G213" i="1" s="1"/>
  <c r="O212" i="1"/>
  <c r="N212" i="1"/>
  <c r="M212" i="1"/>
  <c r="L212" i="1"/>
  <c r="K212" i="1"/>
  <c r="J212" i="1"/>
  <c r="I212" i="1"/>
  <c r="H212" i="1"/>
  <c r="G212" i="1" s="1"/>
  <c r="O211" i="1"/>
  <c r="N211" i="1"/>
  <c r="M211" i="1"/>
  <c r="L211" i="1"/>
  <c r="K211" i="1"/>
  <c r="J211" i="1"/>
  <c r="I211" i="1"/>
  <c r="H211" i="1"/>
  <c r="G211" i="1" s="1"/>
  <c r="O210" i="1"/>
  <c r="N210" i="1"/>
  <c r="M210" i="1"/>
  <c r="L210" i="1"/>
  <c r="K210" i="1"/>
  <c r="J210" i="1"/>
  <c r="I210" i="1"/>
  <c r="H210" i="1"/>
  <c r="G210" i="1" s="1"/>
  <c r="O209" i="1"/>
  <c r="N209" i="1"/>
  <c r="M209" i="1"/>
  <c r="L209" i="1"/>
  <c r="K209" i="1"/>
  <c r="J209" i="1"/>
  <c r="I209" i="1"/>
  <c r="H209" i="1"/>
  <c r="G209" i="1" s="1"/>
  <c r="O208" i="1"/>
  <c r="N208" i="1"/>
  <c r="M208" i="1"/>
  <c r="L208" i="1"/>
  <c r="K208" i="1"/>
  <c r="J208" i="1"/>
  <c r="I208" i="1"/>
  <c r="H208" i="1"/>
  <c r="G208" i="1" s="1"/>
  <c r="O207" i="1"/>
  <c r="N207" i="1"/>
  <c r="M207" i="1"/>
  <c r="L207" i="1"/>
  <c r="K207" i="1"/>
  <c r="J207" i="1"/>
  <c r="I207" i="1"/>
  <c r="H207" i="1"/>
  <c r="G207" i="1" s="1"/>
  <c r="O206" i="1"/>
  <c r="N206" i="1"/>
  <c r="M206" i="1"/>
  <c r="L206" i="1"/>
  <c r="K206" i="1"/>
  <c r="J206" i="1"/>
  <c r="I206" i="1"/>
  <c r="H206" i="1"/>
  <c r="G206" i="1" s="1"/>
  <c r="O205" i="1"/>
  <c r="N205" i="1"/>
  <c r="M205" i="1"/>
  <c r="L205" i="1"/>
  <c r="K205" i="1"/>
  <c r="J205" i="1"/>
  <c r="I205" i="1"/>
  <c r="H205" i="1"/>
  <c r="G205" i="1" s="1"/>
  <c r="O204" i="1"/>
  <c r="N204" i="1"/>
  <c r="M204" i="1"/>
  <c r="L204" i="1"/>
  <c r="K204" i="1"/>
  <c r="J204" i="1"/>
  <c r="I204" i="1"/>
  <c r="H204" i="1"/>
  <c r="G204" i="1" s="1"/>
  <c r="O203" i="1"/>
  <c r="N203" i="1"/>
  <c r="M203" i="1"/>
  <c r="L203" i="1"/>
  <c r="K203" i="1"/>
  <c r="J203" i="1"/>
  <c r="I203" i="1"/>
  <c r="H203" i="1"/>
  <c r="G203" i="1" s="1"/>
  <c r="O202" i="1"/>
  <c r="N202" i="1"/>
  <c r="M202" i="1"/>
  <c r="L202" i="1"/>
  <c r="K202" i="1"/>
  <c r="J202" i="1"/>
  <c r="I202" i="1"/>
  <c r="H202" i="1"/>
  <c r="G202" i="1" s="1"/>
  <c r="O201" i="1"/>
  <c r="N201" i="1"/>
  <c r="M201" i="1"/>
  <c r="L201" i="1"/>
  <c r="K201" i="1"/>
  <c r="J201" i="1"/>
  <c r="I201" i="1"/>
  <c r="H201" i="1"/>
  <c r="G201" i="1" s="1"/>
  <c r="O200" i="1"/>
  <c r="N200" i="1"/>
  <c r="M200" i="1"/>
  <c r="L200" i="1"/>
  <c r="K200" i="1"/>
  <c r="J200" i="1"/>
  <c r="I200" i="1"/>
  <c r="H200" i="1"/>
  <c r="G200" i="1" s="1"/>
  <c r="O199" i="1"/>
  <c r="N199" i="1"/>
  <c r="M199" i="1"/>
  <c r="L199" i="1"/>
  <c r="K199" i="1"/>
  <c r="J199" i="1"/>
  <c r="I199" i="1"/>
  <c r="H199" i="1"/>
  <c r="G199" i="1" s="1"/>
  <c r="O198" i="1"/>
  <c r="N198" i="1"/>
  <c r="M198" i="1"/>
  <c r="L198" i="1"/>
  <c r="K198" i="1"/>
  <c r="J198" i="1"/>
  <c r="I198" i="1"/>
  <c r="H198" i="1"/>
  <c r="G198" i="1" s="1"/>
  <c r="O197" i="1"/>
  <c r="N197" i="1"/>
  <c r="M197" i="1"/>
  <c r="L197" i="1"/>
  <c r="K197" i="1"/>
  <c r="J197" i="1"/>
  <c r="I197" i="1"/>
  <c r="H197" i="1"/>
  <c r="G197" i="1" s="1"/>
  <c r="O196" i="1"/>
  <c r="N196" i="1"/>
  <c r="M196" i="1"/>
  <c r="L196" i="1"/>
  <c r="K196" i="1"/>
  <c r="J196" i="1"/>
  <c r="I196" i="1"/>
  <c r="H196" i="1"/>
  <c r="G196" i="1" s="1"/>
  <c r="O195" i="1"/>
  <c r="N195" i="1"/>
  <c r="M195" i="1"/>
  <c r="L195" i="1"/>
  <c r="K195" i="1"/>
  <c r="J195" i="1"/>
  <c r="I195" i="1"/>
  <c r="H195" i="1"/>
  <c r="G195" i="1" s="1"/>
  <c r="O194" i="1"/>
  <c r="N194" i="1"/>
  <c r="M194" i="1"/>
  <c r="L194" i="1"/>
  <c r="K194" i="1"/>
  <c r="J194" i="1"/>
  <c r="I194" i="1"/>
  <c r="H194" i="1"/>
  <c r="G194" i="1" s="1"/>
  <c r="O193" i="1"/>
  <c r="N193" i="1"/>
  <c r="M193" i="1"/>
  <c r="L193" i="1"/>
  <c r="K193" i="1"/>
  <c r="J193" i="1"/>
  <c r="I193" i="1"/>
  <c r="H193" i="1"/>
  <c r="G193" i="1" s="1"/>
  <c r="O192" i="1"/>
  <c r="N192" i="1"/>
  <c r="M192" i="1"/>
  <c r="L192" i="1"/>
  <c r="K192" i="1"/>
  <c r="J192" i="1"/>
  <c r="I192" i="1"/>
  <c r="H192" i="1"/>
  <c r="G192" i="1" s="1"/>
  <c r="O191" i="1"/>
  <c r="N191" i="1"/>
  <c r="M191" i="1"/>
  <c r="L191" i="1"/>
  <c r="K191" i="1"/>
  <c r="J191" i="1"/>
  <c r="I191" i="1"/>
  <c r="H191" i="1"/>
  <c r="G191" i="1" s="1"/>
  <c r="O190" i="1"/>
  <c r="N190" i="1"/>
  <c r="M190" i="1"/>
  <c r="L190" i="1"/>
  <c r="K190" i="1"/>
  <c r="J190" i="1"/>
  <c r="I190" i="1"/>
  <c r="H190" i="1"/>
  <c r="G190" i="1" s="1"/>
  <c r="O189" i="1"/>
  <c r="N189" i="1"/>
  <c r="M189" i="1"/>
  <c r="L189" i="1"/>
  <c r="K189" i="1"/>
  <c r="J189" i="1"/>
  <c r="I189" i="1"/>
  <c r="H189" i="1"/>
  <c r="G189" i="1" s="1"/>
  <c r="O188" i="1"/>
  <c r="N188" i="1"/>
  <c r="M188" i="1"/>
  <c r="L188" i="1"/>
  <c r="K188" i="1"/>
  <c r="J188" i="1"/>
  <c r="I188" i="1"/>
  <c r="H188" i="1"/>
  <c r="G188" i="1" s="1"/>
  <c r="O187" i="1"/>
  <c r="N187" i="1"/>
  <c r="M187" i="1"/>
  <c r="L187" i="1"/>
  <c r="K187" i="1"/>
  <c r="J187" i="1"/>
  <c r="I187" i="1"/>
  <c r="H187" i="1"/>
  <c r="G187" i="1" s="1"/>
  <c r="O186" i="1"/>
  <c r="N186" i="1"/>
  <c r="M186" i="1"/>
  <c r="L186" i="1"/>
  <c r="K186" i="1"/>
  <c r="J186" i="1"/>
  <c r="I186" i="1"/>
  <c r="H186" i="1"/>
  <c r="G186" i="1" s="1"/>
  <c r="O185" i="1"/>
  <c r="N185" i="1"/>
  <c r="M185" i="1"/>
  <c r="L185" i="1"/>
  <c r="K185" i="1"/>
  <c r="J185" i="1"/>
  <c r="I185" i="1"/>
  <c r="H185" i="1"/>
  <c r="G185" i="1" s="1"/>
  <c r="O184" i="1"/>
  <c r="N184" i="1"/>
  <c r="M184" i="1"/>
  <c r="L184" i="1"/>
  <c r="K184" i="1"/>
  <c r="J184" i="1"/>
  <c r="I184" i="1"/>
  <c r="H184" i="1"/>
  <c r="G184" i="1" s="1"/>
  <c r="O183" i="1"/>
  <c r="N183" i="1"/>
  <c r="M183" i="1"/>
  <c r="L183" i="1"/>
  <c r="K183" i="1"/>
  <c r="J183" i="1"/>
  <c r="I183" i="1"/>
  <c r="H183" i="1"/>
  <c r="G183" i="1" s="1"/>
  <c r="O182" i="1"/>
  <c r="N182" i="1"/>
  <c r="M182" i="1"/>
  <c r="L182" i="1"/>
  <c r="K182" i="1"/>
  <c r="J182" i="1"/>
  <c r="I182" i="1"/>
  <c r="H182" i="1"/>
  <c r="G182" i="1" s="1"/>
  <c r="O181" i="1"/>
  <c r="N181" i="1"/>
  <c r="M181" i="1"/>
  <c r="L181" i="1"/>
  <c r="K181" i="1"/>
  <c r="J181" i="1"/>
  <c r="I181" i="1"/>
  <c r="H181" i="1"/>
  <c r="G181" i="1" s="1"/>
  <c r="O180" i="1"/>
  <c r="N180" i="1"/>
  <c r="M180" i="1"/>
  <c r="L180" i="1"/>
  <c r="K180" i="1"/>
  <c r="J180" i="1"/>
  <c r="I180" i="1"/>
  <c r="H180" i="1"/>
  <c r="G180" i="1" s="1"/>
  <c r="O179" i="1"/>
  <c r="N179" i="1"/>
  <c r="M179" i="1"/>
  <c r="L179" i="1"/>
  <c r="K179" i="1"/>
  <c r="J179" i="1"/>
  <c r="I179" i="1"/>
  <c r="H179" i="1"/>
  <c r="G179" i="1" s="1"/>
  <c r="O178" i="1"/>
  <c r="N178" i="1"/>
  <c r="M178" i="1"/>
  <c r="L178" i="1"/>
  <c r="K178" i="1"/>
  <c r="J178" i="1"/>
  <c r="I178" i="1"/>
  <c r="H178" i="1"/>
  <c r="G178" i="1" s="1"/>
  <c r="O177" i="1"/>
  <c r="N177" i="1"/>
  <c r="M177" i="1"/>
  <c r="L177" i="1"/>
  <c r="K177" i="1"/>
  <c r="J177" i="1"/>
  <c r="I177" i="1"/>
  <c r="H177" i="1"/>
  <c r="G177" i="1" s="1"/>
  <c r="O176" i="1"/>
  <c r="N176" i="1"/>
  <c r="M176" i="1"/>
  <c r="L176" i="1"/>
  <c r="K176" i="1"/>
  <c r="J176" i="1"/>
  <c r="I176" i="1"/>
  <c r="H176" i="1"/>
  <c r="G176" i="1" s="1"/>
  <c r="O175" i="1"/>
  <c r="N175" i="1"/>
  <c r="M175" i="1"/>
  <c r="L175" i="1"/>
  <c r="K175" i="1"/>
  <c r="J175" i="1"/>
  <c r="I175" i="1"/>
  <c r="H175" i="1"/>
  <c r="G175" i="1" s="1"/>
  <c r="O174" i="1"/>
  <c r="N174" i="1"/>
  <c r="M174" i="1"/>
  <c r="L174" i="1"/>
  <c r="K174" i="1"/>
  <c r="J174" i="1"/>
  <c r="I174" i="1"/>
  <c r="H174" i="1"/>
  <c r="G174" i="1" s="1"/>
  <c r="O173" i="1"/>
  <c r="N173" i="1"/>
  <c r="M173" i="1"/>
  <c r="L173" i="1"/>
  <c r="K173" i="1"/>
  <c r="J173" i="1"/>
  <c r="I173" i="1"/>
  <c r="H173" i="1"/>
  <c r="G173" i="1" s="1"/>
  <c r="O172" i="1"/>
  <c r="N172" i="1"/>
  <c r="M172" i="1"/>
  <c r="L172" i="1"/>
  <c r="K172" i="1"/>
  <c r="J172" i="1"/>
  <c r="I172" i="1"/>
  <c r="H172" i="1"/>
  <c r="G172" i="1" s="1"/>
  <c r="O171" i="1"/>
  <c r="N171" i="1"/>
  <c r="M171" i="1"/>
  <c r="L171" i="1"/>
  <c r="K171" i="1"/>
  <c r="J171" i="1"/>
  <c r="I171" i="1"/>
  <c r="H171" i="1"/>
  <c r="G171" i="1" s="1"/>
  <c r="O170" i="1"/>
  <c r="N170" i="1"/>
  <c r="M170" i="1"/>
  <c r="L170" i="1"/>
  <c r="K170" i="1"/>
  <c r="J170" i="1"/>
  <c r="I170" i="1"/>
  <c r="H170" i="1"/>
  <c r="G170" i="1" s="1"/>
  <c r="O169" i="1"/>
  <c r="N169" i="1"/>
  <c r="M169" i="1"/>
  <c r="L169" i="1"/>
  <c r="K169" i="1"/>
  <c r="J169" i="1"/>
  <c r="I169" i="1"/>
  <c r="H169" i="1"/>
  <c r="G169" i="1" s="1"/>
  <c r="O168" i="1"/>
  <c r="N168" i="1"/>
  <c r="M168" i="1"/>
  <c r="L168" i="1"/>
  <c r="K168" i="1"/>
  <c r="J168" i="1"/>
  <c r="I168" i="1"/>
  <c r="H168" i="1"/>
  <c r="G168" i="1" s="1"/>
  <c r="O167" i="1"/>
  <c r="N167" i="1"/>
  <c r="M167" i="1"/>
  <c r="L167" i="1"/>
  <c r="K167" i="1"/>
  <c r="J167" i="1"/>
  <c r="I167" i="1"/>
  <c r="H167" i="1"/>
  <c r="G167" i="1" s="1"/>
  <c r="O166" i="1"/>
  <c r="N166" i="1"/>
  <c r="M166" i="1"/>
  <c r="L166" i="1"/>
  <c r="K166" i="1"/>
  <c r="J166" i="1"/>
  <c r="I166" i="1"/>
  <c r="H166" i="1"/>
  <c r="G166" i="1" s="1"/>
  <c r="O165" i="1"/>
  <c r="N165" i="1"/>
  <c r="M165" i="1"/>
  <c r="L165" i="1"/>
  <c r="K165" i="1"/>
  <c r="J165" i="1"/>
  <c r="I165" i="1"/>
  <c r="H165" i="1"/>
  <c r="G165" i="1" s="1"/>
  <c r="O164" i="1"/>
  <c r="N164" i="1"/>
  <c r="M164" i="1"/>
  <c r="L164" i="1"/>
  <c r="K164" i="1"/>
  <c r="J164" i="1"/>
  <c r="I164" i="1"/>
  <c r="H164" i="1"/>
  <c r="G164" i="1" s="1"/>
  <c r="O163" i="1"/>
  <c r="N163" i="1"/>
  <c r="M163" i="1"/>
  <c r="L163" i="1"/>
  <c r="K163" i="1"/>
  <c r="J163" i="1"/>
  <c r="I163" i="1"/>
  <c r="H163" i="1"/>
  <c r="G163" i="1" s="1"/>
  <c r="O162" i="1"/>
  <c r="N162" i="1"/>
  <c r="M162" i="1"/>
  <c r="L162" i="1"/>
  <c r="K162" i="1"/>
  <c r="J162" i="1"/>
  <c r="I162" i="1"/>
  <c r="H162" i="1"/>
  <c r="G162" i="1" s="1"/>
  <c r="O161" i="1"/>
  <c r="N161" i="1"/>
  <c r="M161" i="1"/>
  <c r="L161" i="1"/>
  <c r="K161" i="1"/>
  <c r="J161" i="1"/>
  <c r="I161" i="1"/>
  <c r="H161" i="1"/>
  <c r="G161" i="1" s="1"/>
  <c r="O160" i="1"/>
  <c r="N160" i="1"/>
  <c r="M160" i="1"/>
  <c r="L160" i="1"/>
  <c r="K160" i="1"/>
  <c r="J160" i="1"/>
  <c r="I160" i="1"/>
  <c r="H160" i="1"/>
  <c r="G160" i="1" s="1"/>
  <c r="O159" i="1"/>
  <c r="N159" i="1"/>
  <c r="M159" i="1"/>
  <c r="L159" i="1"/>
  <c r="K159" i="1"/>
  <c r="J159" i="1"/>
  <c r="I159" i="1"/>
  <c r="H159" i="1"/>
  <c r="G159" i="1" s="1"/>
  <c r="O158" i="1"/>
  <c r="N158" i="1"/>
  <c r="M158" i="1"/>
  <c r="L158" i="1"/>
  <c r="K158" i="1"/>
  <c r="J158" i="1"/>
  <c r="I158" i="1"/>
  <c r="H158" i="1"/>
  <c r="G158" i="1" s="1"/>
  <c r="O157" i="1"/>
  <c r="N157" i="1"/>
  <c r="M157" i="1"/>
  <c r="L157" i="1"/>
  <c r="K157" i="1"/>
  <c r="J157" i="1"/>
  <c r="I157" i="1"/>
  <c r="H157" i="1"/>
  <c r="G157" i="1" s="1"/>
  <c r="O156" i="1"/>
  <c r="N156" i="1"/>
  <c r="M156" i="1"/>
  <c r="L156" i="1"/>
  <c r="K156" i="1"/>
  <c r="J156" i="1"/>
  <c r="I156" i="1"/>
  <c r="H156" i="1"/>
  <c r="G156" i="1" s="1"/>
  <c r="O155" i="1"/>
  <c r="N155" i="1"/>
  <c r="M155" i="1"/>
  <c r="L155" i="1"/>
  <c r="K155" i="1"/>
  <c r="J155" i="1"/>
  <c r="I155" i="1"/>
  <c r="H155" i="1"/>
  <c r="G155" i="1" s="1"/>
  <c r="O154" i="1"/>
  <c r="N154" i="1"/>
  <c r="M154" i="1"/>
  <c r="L154" i="1"/>
  <c r="K154" i="1"/>
  <c r="J154" i="1"/>
  <c r="I154" i="1"/>
  <c r="H154" i="1"/>
  <c r="G154" i="1" s="1"/>
  <c r="O153" i="1"/>
  <c r="N153" i="1"/>
  <c r="M153" i="1"/>
  <c r="L153" i="1"/>
  <c r="K153" i="1"/>
  <c r="J153" i="1"/>
  <c r="I153" i="1"/>
  <c r="H153" i="1"/>
  <c r="G153" i="1" s="1"/>
  <c r="O152" i="1"/>
  <c r="N152" i="1"/>
  <c r="M152" i="1"/>
  <c r="L152" i="1"/>
  <c r="K152" i="1"/>
  <c r="J152" i="1"/>
  <c r="I152" i="1"/>
  <c r="H152" i="1"/>
  <c r="G152" i="1" s="1"/>
  <c r="O151" i="1"/>
  <c r="N151" i="1"/>
  <c r="M151" i="1"/>
  <c r="L151" i="1"/>
  <c r="K151" i="1"/>
  <c r="J151" i="1"/>
  <c r="I151" i="1"/>
  <c r="H151" i="1"/>
  <c r="G151" i="1" s="1"/>
  <c r="O150" i="1"/>
  <c r="N150" i="1"/>
  <c r="M150" i="1"/>
  <c r="L150" i="1"/>
  <c r="K150" i="1"/>
  <c r="J150" i="1"/>
  <c r="I150" i="1"/>
  <c r="H150" i="1"/>
  <c r="G150" i="1" s="1"/>
  <c r="O149" i="1"/>
  <c r="N149" i="1"/>
  <c r="M149" i="1"/>
  <c r="L149" i="1"/>
  <c r="K149" i="1"/>
  <c r="J149" i="1"/>
  <c r="I149" i="1"/>
  <c r="H149" i="1"/>
  <c r="G149" i="1" s="1"/>
  <c r="O148" i="1"/>
  <c r="N148" i="1"/>
  <c r="M148" i="1"/>
  <c r="L148" i="1"/>
  <c r="K148" i="1"/>
  <c r="J148" i="1"/>
  <c r="I148" i="1"/>
  <c r="H148" i="1"/>
  <c r="G148" i="1" s="1"/>
  <c r="O147" i="1"/>
  <c r="N147" i="1"/>
  <c r="M147" i="1"/>
  <c r="L147" i="1"/>
  <c r="K147" i="1"/>
  <c r="J147" i="1"/>
  <c r="I147" i="1"/>
  <c r="H147" i="1"/>
  <c r="G147" i="1" s="1"/>
  <c r="O146" i="1"/>
  <c r="N146" i="1"/>
  <c r="M146" i="1"/>
  <c r="L146" i="1"/>
  <c r="K146" i="1"/>
  <c r="J146" i="1"/>
  <c r="I146" i="1"/>
  <c r="H146" i="1"/>
  <c r="G146" i="1" s="1"/>
  <c r="O145" i="1"/>
  <c r="N145" i="1"/>
  <c r="M145" i="1"/>
  <c r="L145" i="1"/>
  <c r="K145" i="1"/>
  <c r="J145" i="1"/>
  <c r="I145" i="1"/>
  <c r="H145" i="1"/>
  <c r="G145" i="1" s="1"/>
  <c r="O144" i="1"/>
  <c r="N144" i="1"/>
  <c r="M144" i="1"/>
  <c r="L144" i="1"/>
  <c r="K144" i="1"/>
  <c r="J144" i="1"/>
  <c r="I144" i="1"/>
  <c r="H144" i="1"/>
  <c r="G144" i="1" s="1"/>
  <c r="O143" i="1"/>
  <c r="N143" i="1"/>
  <c r="M143" i="1"/>
  <c r="L143" i="1"/>
  <c r="K143" i="1"/>
  <c r="J143" i="1"/>
  <c r="I143" i="1"/>
  <c r="H143" i="1"/>
  <c r="G143" i="1" s="1"/>
  <c r="O142" i="1"/>
  <c r="N142" i="1"/>
  <c r="M142" i="1"/>
  <c r="L142" i="1"/>
  <c r="K142" i="1"/>
  <c r="J142" i="1"/>
  <c r="I142" i="1"/>
  <c r="H142" i="1"/>
  <c r="G142" i="1" s="1"/>
  <c r="O141" i="1"/>
  <c r="N141" i="1"/>
  <c r="M141" i="1"/>
  <c r="L141" i="1"/>
  <c r="K141" i="1"/>
  <c r="J141" i="1"/>
  <c r="I141" i="1"/>
  <c r="H141" i="1"/>
  <c r="G141" i="1" s="1"/>
  <c r="O140" i="1"/>
  <c r="N140" i="1"/>
  <c r="M140" i="1"/>
  <c r="L140" i="1"/>
  <c r="K140" i="1"/>
  <c r="J140" i="1"/>
  <c r="I140" i="1"/>
  <c r="H140" i="1"/>
  <c r="G140" i="1" s="1"/>
  <c r="O139" i="1"/>
  <c r="N139" i="1"/>
  <c r="M139" i="1"/>
  <c r="L139" i="1"/>
  <c r="K139" i="1"/>
  <c r="J139" i="1"/>
  <c r="I139" i="1"/>
  <c r="H139" i="1"/>
  <c r="G139" i="1" s="1"/>
  <c r="O138" i="1"/>
  <c r="N138" i="1"/>
  <c r="M138" i="1"/>
  <c r="L138" i="1"/>
  <c r="K138" i="1"/>
  <c r="J138" i="1"/>
  <c r="I138" i="1"/>
  <c r="H138" i="1"/>
  <c r="G138" i="1" s="1"/>
  <c r="O137" i="1"/>
  <c r="N137" i="1"/>
  <c r="M137" i="1"/>
  <c r="L137" i="1"/>
  <c r="K137" i="1"/>
  <c r="J137" i="1"/>
  <c r="I137" i="1"/>
  <c r="H137" i="1"/>
  <c r="G137" i="1" s="1"/>
  <c r="O136" i="1"/>
  <c r="N136" i="1"/>
  <c r="M136" i="1"/>
  <c r="L136" i="1"/>
  <c r="K136" i="1"/>
  <c r="J136" i="1"/>
  <c r="I136" i="1"/>
  <c r="H136" i="1"/>
  <c r="G136" i="1" s="1"/>
  <c r="O135" i="1"/>
  <c r="N135" i="1"/>
  <c r="M135" i="1"/>
  <c r="L135" i="1"/>
  <c r="K135" i="1"/>
  <c r="J135" i="1"/>
  <c r="I135" i="1"/>
  <c r="H135" i="1"/>
  <c r="G135" i="1" s="1"/>
  <c r="O134" i="1"/>
  <c r="N134" i="1"/>
  <c r="M134" i="1"/>
  <c r="L134" i="1"/>
  <c r="K134" i="1"/>
  <c r="J134" i="1"/>
  <c r="I134" i="1"/>
  <c r="H134" i="1"/>
  <c r="G134" i="1" s="1"/>
  <c r="O133" i="1"/>
  <c r="N133" i="1"/>
  <c r="M133" i="1"/>
  <c r="L133" i="1"/>
  <c r="K133" i="1"/>
  <c r="J133" i="1"/>
  <c r="I133" i="1"/>
  <c r="H133" i="1"/>
  <c r="G133" i="1" s="1"/>
  <c r="O132" i="1"/>
  <c r="N132" i="1"/>
  <c r="M132" i="1"/>
  <c r="L132" i="1"/>
  <c r="K132" i="1"/>
  <c r="J132" i="1"/>
  <c r="I132" i="1"/>
  <c r="H132" i="1"/>
  <c r="G132" i="1" s="1"/>
  <c r="O131" i="1"/>
  <c r="N131" i="1"/>
  <c r="M131" i="1"/>
  <c r="L131" i="1"/>
  <c r="K131" i="1"/>
  <c r="J131" i="1"/>
  <c r="I131" i="1"/>
  <c r="H131" i="1"/>
  <c r="G131" i="1" s="1"/>
  <c r="O130" i="1"/>
  <c r="N130" i="1"/>
  <c r="M130" i="1"/>
  <c r="L130" i="1"/>
  <c r="K130" i="1"/>
  <c r="J130" i="1"/>
  <c r="I130" i="1"/>
  <c r="H130" i="1"/>
  <c r="G130" i="1" s="1"/>
  <c r="O129" i="1"/>
  <c r="N129" i="1"/>
  <c r="M129" i="1"/>
  <c r="L129" i="1"/>
  <c r="K129" i="1"/>
  <c r="J129" i="1"/>
  <c r="I129" i="1"/>
  <c r="H129" i="1"/>
  <c r="G129" i="1" s="1"/>
  <c r="O128" i="1"/>
  <c r="N128" i="1"/>
  <c r="M128" i="1"/>
  <c r="L128" i="1"/>
  <c r="K128" i="1"/>
  <c r="J128" i="1"/>
  <c r="I128" i="1"/>
  <c r="H128" i="1"/>
  <c r="G128" i="1" s="1"/>
  <c r="O127" i="1"/>
  <c r="N127" i="1"/>
  <c r="M127" i="1"/>
  <c r="L127" i="1"/>
  <c r="K127" i="1"/>
  <c r="J127" i="1"/>
  <c r="I127" i="1"/>
  <c r="H127" i="1"/>
  <c r="G127" i="1" s="1"/>
  <c r="O126" i="1"/>
  <c r="N126" i="1"/>
  <c r="M126" i="1"/>
  <c r="L126" i="1"/>
  <c r="K126" i="1"/>
  <c r="J126" i="1"/>
  <c r="I126" i="1"/>
  <c r="H126" i="1"/>
  <c r="G126" i="1" s="1"/>
  <c r="O125" i="1"/>
  <c r="N125" i="1"/>
  <c r="M125" i="1"/>
  <c r="L125" i="1"/>
  <c r="K125" i="1"/>
  <c r="J125" i="1"/>
  <c r="I125" i="1"/>
  <c r="H125" i="1"/>
  <c r="G125" i="1" s="1"/>
  <c r="O124" i="1"/>
  <c r="N124" i="1"/>
  <c r="M124" i="1"/>
  <c r="L124" i="1"/>
  <c r="K124" i="1"/>
  <c r="J124" i="1"/>
  <c r="I124" i="1"/>
  <c r="H124" i="1"/>
  <c r="G124" i="1" s="1"/>
  <c r="O123" i="1"/>
  <c r="N123" i="1"/>
  <c r="M123" i="1"/>
  <c r="L123" i="1"/>
  <c r="K123" i="1"/>
  <c r="J123" i="1"/>
  <c r="I123" i="1"/>
  <c r="H123" i="1"/>
  <c r="G123" i="1" s="1"/>
  <c r="O122" i="1"/>
  <c r="N122" i="1"/>
  <c r="M122" i="1"/>
  <c r="L122" i="1"/>
  <c r="K122" i="1"/>
  <c r="J122" i="1"/>
  <c r="I122" i="1"/>
  <c r="H122" i="1"/>
  <c r="G122" i="1" s="1"/>
  <c r="O121" i="1"/>
  <c r="N121" i="1"/>
  <c r="M121" i="1"/>
  <c r="L121" i="1"/>
  <c r="K121" i="1"/>
  <c r="J121" i="1"/>
  <c r="I121" i="1"/>
  <c r="H121" i="1"/>
  <c r="G121" i="1" s="1"/>
  <c r="O120" i="1"/>
  <c r="N120" i="1"/>
  <c r="M120" i="1"/>
  <c r="L120" i="1"/>
  <c r="K120" i="1"/>
  <c r="J120" i="1"/>
  <c r="I120" i="1"/>
  <c r="H120" i="1"/>
  <c r="G120" i="1" s="1"/>
  <c r="O119" i="1"/>
  <c r="N119" i="1"/>
  <c r="M119" i="1"/>
  <c r="L119" i="1"/>
  <c r="K119" i="1"/>
  <c r="J119" i="1"/>
  <c r="I119" i="1"/>
  <c r="H119" i="1"/>
  <c r="G119" i="1" s="1"/>
  <c r="O118" i="1"/>
  <c r="N118" i="1"/>
  <c r="M118" i="1"/>
  <c r="L118" i="1"/>
  <c r="K118" i="1"/>
  <c r="J118" i="1"/>
  <c r="I118" i="1"/>
  <c r="H118" i="1"/>
  <c r="G118" i="1" s="1"/>
  <c r="O117" i="1"/>
  <c r="N117" i="1"/>
  <c r="M117" i="1"/>
  <c r="L117" i="1"/>
  <c r="K117" i="1"/>
  <c r="J117" i="1"/>
  <c r="I117" i="1"/>
  <c r="H117" i="1"/>
  <c r="G117" i="1" s="1"/>
  <c r="O116" i="1"/>
  <c r="N116" i="1"/>
  <c r="M116" i="1"/>
  <c r="L116" i="1"/>
  <c r="K116" i="1"/>
  <c r="J116" i="1"/>
  <c r="I116" i="1"/>
  <c r="H116" i="1"/>
  <c r="G116" i="1" s="1"/>
  <c r="O115" i="1"/>
  <c r="N115" i="1"/>
  <c r="M115" i="1"/>
  <c r="L115" i="1"/>
  <c r="K115" i="1"/>
  <c r="J115" i="1"/>
  <c r="I115" i="1"/>
  <c r="H115" i="1"/>
  <c r="G115" i="1" s="1"/>
  <c r="O114" i="1"/>
  <c r="N114" i="1"/>
  <c r="M114" i="1"/>
  <c r="L114" i="1"/>
  <c r="K114" i="1"/>
  <c r="J114" i="1"/>
  <c r="I114" i="1"/>
  <c r="H114" i="1"/>
  <c r="G114" i="1" s="1"/>
  <c r="O113" i="1"/>
  <c r="N113" i="1"/>
  <c r="M113" i="1"/>
  <c r="L113" i="1"/>
  <c r="K113" i="1"/>
  <c r="J113" i="1"/>
  <c r="I113" i="1"/>
  <c r="H113" i="1"/>
  <c r="G113" i="1" s="1"/>
  <c r="O112" i="1"/>
  <c r="N112" i="1"/>
  <c r="M112" i="1"/>
  <c r="L112" i="1"/>
  <c r="K112" i="1"/>
  <c r="J112" i="1"/>
  <c r="I112" i="1"/>
  <c r="H112" i="1"/>
  <c r="G112" i="1" s="1"/>
  <c r="O111" i="1"/>
  <c r="N111" i="1"/>
  <c r="M111" i="1"/>
  <c r="L111" i="1"/>
  <c r="K111" i="1"/>
  <c r="J111" i="1"/>
  <c r="I111" i="1"/>
  <c r="H111" i="1"/>
  <c r="G111" i="1" s="1"/>
  <c r="O110" i="1"/>
  <c r="N110" i="1"/>
  <c r="M110" i="1"/>
  <c r="L110" i="1"/>
  <c r="K110" i="1"/>
  <c r="J110" i="1"/>
  <c r="I110" i="1"/>
  <c r="H110" i="1"/>
  <c r="G110" i="1" s="1"/>
  <c r="O109" i="1"/>
  <c r="N109" i="1"/>
  <c r="M109" i="1"/>
  <c r="L109" i="1"/>
  <c r="K109" i="1"/>
  <c r="J109" i="1"/>
  <c r="I109" i="1"/>
  <c r="H109" i="1"/>
  <c r="G109" i="1" s="1"/>
  <c r="O108" i="1"/>
  <c r="N108" i="1"/>
  <c r="M108" i="1"/>
  <c r="L108" i="1"/>
  <c r="K108" i="1"/>
  <c r="J108" i="1"/>
  <c r="I108" i="1"/>
  <c r="H108" i="1"/>
  <c r="G108" i="1" s="1"/>
  <c r="O107" i="1"/>
  <c r="N107" i="1"/>
  <c r="M107" i="1"/>
  <c r="L107" i="1"/>
  <c r="K107" i="1"/>
  <c r="J107" i="1"/>
  <c r="I107" i="1"/>
  <c r="H107" i="1"/>
  <c r="G107" i="1" s="1"/>
  <c r="O106" i="1"/>
  <c r="N106" i="1"/>
  <c r="M106" i="1"/>
  <c r="L106" i="1"/>
  <c r="K106" i="1"/>
  <c r="J106" i="1"/>
  <c r="I106" i="1"/>
  <c r="H106" i="1"/>
  <c r="G106" i="1" s="1"/>
  <c r="O105" i="1"/>
  <c r="N105" i="1"/>
  <c r="M105" i="1"/>
  <c r="L105" i="1"/>
  <c r="K105" i="1"/>
  <c r="J105" i="1"/>
  <c r="I105" i="1"/>
  <c r="H105" i="1"/>
  <c r="G105" i="1" s="1"/>
  <c r="O104" i="1"/>
  <c r="N104" i="1"/>
  <c r="M104" i="1"/>
  <c r="L104" i="1"/>
  <c r="K104" i="1"/>
  <c r="J104" i="1"/>
  <c r="I104" i="1"/>
  <c r="H104" i="1"/>
  <c r="G104" i="1" s="1"/>
  <c r="O103" i="1"/>
  <c r="N103" i="1"/>
  <c r="M103" i="1"/>
  <c r="L103" i="1"/>
  <c r="K103" i="1"/>
  <c r="J103" i="1"/>
  <c r="I103" i="1"/>
  <c r="H103" i="1"/>
  <c r="G103" i="1" s="1"/>
  <c r="O102" i="1"/>
  <c r="N102" i="1"/>
  <c r="M102" i="1"/>
  <c r="L102" i="1"/>
  <c r="K102" i="1"/>
  <c r="J102" i="1"/>
  <c r="I102" i="1"/>
  <c r="H102" i="1"/>
  <c r="G102" i="1" s="1"/>
  <c r="O101" i="1"/>
  <c r="N101" i="1"/>
  <c r="M101" i="1"/>
  <c r="L101" i="1"/>
  <c r="K101" i="1"/>
  <c r="J101" i="1"/>
  <c r="I101" i="1"/>
  <c r="H101" i="1"/>
  <c r="G101" i="1" s="1"/>
  <c r="O100" i="1"/>
  <c r="N100" i="1"/>
  <c r="M100" i="1"/>
  <c r="L100" i="1"/>
  <c r="K100" i="1"/>
  <c r="J100" i="1"/>
  <c r="I100" i="1"/>
  <c r="H100" i="1"/>
  <c r="G100" i="1" s="1"/>
  <c r="O99" i="1"/>
  <c r="N99" i="1"/>
  <c r="M99" i="1"/>
  <c r="L99" i="1"/>
  <c r="K99" i="1"/>
  <c r="J99" i="1"/>
  <c r="I99" i="1"/>
  <c r="H99" i="1"/>
  <c r="G99" i="1" s="1"/>
  <c r="O98" i="1"/>
  <c r="N98" i="1"/>
  <c r="M98" i="1"/>
  <c r="L98" i="1"/>
  <c r="K98" i="1"/>
  <c r="J98" i="1"/>
  <c r="I98" i="1"/>
  <c r="H98" i="1"/>
  <c r="G98" i="1" s="1"/>
  <c r="O97" i="1"/>
  <c r="N97" i="1"/>
  <c r="M97" i="1"/>
  <c r="L97" i="1"/>
  <c r="K97" i="1"/>
  <c r="J97" i="1"/>
  <c r="I97" i="1"/>
  <c r="H97" i="1"/>
  <c r="G97" i="1" s="1"/>
  <c r="O96" i="1"/>
  <c r="N96" i="1"/>
  <c r="M96" i="1"/>
  <c r="L96" i="1"/>
  <c r="K96" i="1"/>
  <c r="J96" i="1"/>
  <c r="I96" i="1"/>
  <c r="H96" i="1"/>
  <c r="G96" i="1" s="1"/>
  <c r="O95" i="1"/>
  <c r="N95" i="1"/>
  <c r="M95" i="1"/>
  <c r="L95" i="1"/>
  <c r="K95" i="1"/>
  <c r="J95" i="1"/>
  <c r="I95" i="1"/>
  <c r="H95" i="1"/>
  <c r="G95" i="1" s="1"/>
  <c r="O94" i="1"/>
  <c r="N94" i="1"/>
  <c r="M94" i="1"/>
  <c r="L94" i="1"/>
  <c r="K94" i="1"/>
  <c r="J94" i="1"/>
  <c r="I94" i="1"/>
  <c r="H94" i="1"/>
  <c r="G94" i="1" s="1"/>
  <c r="O93" i="1"/>
  <c r="N93" i="1"/>
  <c r="M93" i="1"/>
  <c r="L93" i="1"/>
  <c r="K93" i="1"/>
  <c r="J93" i="1"/>
  <c r="I93" i="1"/>
  <c r="H93" i="1"/>
  <c r="G93" i="1" s="1"/>
  <c r="O92" i="1"/>
  <c r="N92" i="1"/>
  <c r="M92" i="1"/>
  <c r="L92" i="1"/>
  <c r="K92" i="1"/>
  <c r="J92" i="1"/>
  <c r="I92" i="1"/>
  <c r="H92" i="1"/>
  <c r="G92" i="1" s="1"/>
  <c r="O91" i="1"/>
  <c r="N91" i="1"/>
  <c r="M91" i="1"/>
  <c r="L91" i="1"/>
  <c r="K91" i="1"/>
  <c r="J91" i="1"/>
  <c r="I91" i="1"/>
  <c r="H91" i="1"/>
  <c r="G91" i="1" s="1"/>
  <c r="O90" i="1"/>
  <c r="N90" i="1"/>
  <c r="M90" i="1"/>
  <c r="L90" i="1"/>
  <c r="K90" i="1"/>
  <c r="J90" i="1"/>
  <c r="I90" i="1"/>
  <c r="H90" i="1"/>
  <c r="G90" i="1" s="1"/>
  <c r="O89" i="1"/>
  <c r="N89" i="1"/>
  <c r="M89" i="1"/>
  <c r="L89" i="1"/>
  <c r="K89" i="1"/>
  <c r="J89" i="1"/>
  <c r="I89" i="1"/>
  <c r="H89" i="1"/>
  <c r="G89" i="1" s="1"/>
  <c r="O88" i="1"/>
  <c r="N88" i="1"/>
  <c r="M88" i="1"/>
  <c r="L88" i="1"/>
  <c r="K88" i="1"/>
  <c r="J88" i="1"/>
  <c r="I88" i="1"/>
  <c r="H88" i="1"/>
  <c r="G88" i="1" s="1"/>
  <c r="O87" i="1"/>
  <c r="N87" i="1"/>
  <c r="M87" i="1"/>
  <c r="L87" i="1"/>
  <c r="K87" i="1"/>
  <c r="J87" i="1"/>
  <c r="I87" i="1"/>
  <c r="H87" i="1"/>
  <c r="G87" i="1" s="1"/>
  <c r="O86" i="1"/>
  <c r="N86" i="1"/>
  <c r="M86" i="1"/>
  <c r="L86" i="1"/>
  <c r="K86" i="1"/>
  <c r="J86" i="1"/>
  <c r="I86" i="1"/>
  <c r="H86" i="1"/>
  <c r="G86" i="1" s="1"/>
  <c r="O85" i="1"/>
  <c r="N85" i="1"/>
  <c r="M85" i="1"/>
  <c r="L85" i="1"/>
  <c r="K85" i="1"/>
  <c r="J85" i="1"/>
  <c r="I85" i="1"/>
  <c r="H85" i="1"/>
  <c r="G85" i="1" s="1"/>
  <c r="O84" i="1"/>
  <c r="N84" i="1"/>
  <c r="M84" i="1"/>
  <c r="L84" i="1"/>
  <c r="K84" i="1"/>
  <c r="J84" i="1"/>
  <c r="I84" i="1"/>
  <c r="H84" i="1"/>
  <c r="G84" i="1" s="1"/>
  <c r="O83" i="1"/>
  <c r="N83" i="1"/>
  <c r="M83" i="1"/>
  <c r="L83" i="1"/>
  <c r="K83" i="1"/>
  <c r="J83" i="1"/>
  <c r="I83" i="1"/>
  <c r="H83" i="1"/>
  <c r="G83" i="1" s="1"/>
  <c r="O82" i="1"/>
  <c r="N82" i="1"/>
  <c r="M82" i="1"/>
  <c r="L82" i="1"/>
  <c r="K82" i="1"/>
  <c r="J82" i="1"/>
  <c r="I82" i="1"/>
  <c r="H82" i="1"/>
  <c r="G82" i="1" s="1"/>
  <c r="O81" i="1"/>
  <c r="N81" i="1"/>
  <c r="M81" i="1"/>
  <c r="L81" i="1"/>
  <c r="K81" i="1"/>
  <c r="J81" i="1"/>
  <c r="I81" i="1"/>
  <c r="H81" i="1"/>
  <c r="G81" i="1" s="1"/>
  <c r="O80" i="1"/>
  <c r="N80" i="1"/>
  <c r="M80" i="1"/>
  <c r="L80" i="1"/>
  <c r="K80" i="1"/>
  <c r="J80" i="1"/>
  <c r="I80" i="1"/>
  <c r="H80" i="1"/>
  <c r="G80" i="1" s="1"/>
  <c r="O79" i="1"/>
  <c r="N79" i="1"/>
  <c r="M79" i="1"/>
  <c r="L79" i="1"/>
  <c r="K79" i="1"/>
  <c r="J79" i="1"/>
  <c r="I79" i="1"/>
  <c r="H79" i="1"/>
  <c r="G79" i="1" s="1"/>
  <c r="O78" i="1"/>
  <c r="N78" i="1"/>
  <c r="M78" i="1"/>
  <c r="L78" i="1"/>
  <c r="K78" i="1"/>
  <c r="J78" i="1"/>
  <c r="I78" i="1"/>
  <c r="H78" i="1"/>
  <c r="G78" i="1" s="1"/>
  <c r="O77" i="1"/>
  <c r="N77" i="1"/>
  <c r="M77" i="1"/>
  <c r="L77" i="1"/>
  <c r="K77" i="1"/>
  <c r="J77" i="1"/>
  <c r="I77" i="1"/>
  <c r="H77" i="1"/>
  <c r="G77" i="1" s="1"/>
  <c r="O76" i="1"/>
  <c r="N76" i="1"/>
  <c r="M76" i="1"/>
  <c r="L76" i="1"/>
  <c r="K76" i="1"/>
  <c r="J76" i="1"/>
  <c r="I76" i="1"/>
  <c r="H76" i="1"/>
  <c r="G76" i="1" s="1"/>
  <c r="O75" i="1"/>
  <c r="N75" i="1"/>
  <c r="M75" i="1"/>
  <c r="L75" i="1"/>
  <c r="K75" i="1"/>
  <c r="J75" i="1"/>
  <c r="I75" i="1"/>
  <c r="H75" i="1"/>
  <c r="G75" i="1" s="1"/>
  <c r="O74" i="1"/>
  <c r="N74" i="1"/>
  <c r="M74" i="1"/>
  <c r="L74" i="1"/>
  <c r="K74" i="1"/>
  <c r="J74" i="1"/>
  <c r="I74" i="1"/>
  <c r="H74" i="1"/>
  <c r="G74" i="1" s="1"/>
  <c r="O73" i="1"/>
  <c r="N73" i="1"/>
  <c r="M73" i="1"/>
  <c r="L73" i="1"/>
  <c r="K73" i="1"/>
  <c r="J73" i="1"/>
  <c r="I73" i="1"/>
  <c r="H73" i="1"/>
  <c r="G73" i="1" s="1"/>
  <c r="O72" i="1"/>
  <c r="N72" i="1"/>
  <c r="M72" i="1"/>
  <c r="L72" i="1"/>
  <c r="K72" i="1"/>
  <c r="J72" i="1"/>
  <c r="I72" i="1"/>
  <c r="H72" i="1"/>
  <c r="G72" i="1" s="1"/>
  <c r="O71" i="1"/>
  <c r="N71" i="1"/>
  <c r="M71" i="1"/>
  <c r="L71" i="1"/>
  <c r="K71" i="1"/>
  <c r="J71" i="1"/>
  <c r="I71" i="1"/>
  <c r="H71" i="1"/>
  <c r="G71" i="1" s="1"/>
  <c r="O70" i="1"/>
  <c r="N70" i="1"/>
  <c r="M70" i="1"/>
  <c r="L70" i="1"/>
  <c r="K70" i="1"/>
  <c r="J70" i="1"/>
  <c r="I70" i="1"/>
  <c r="H70" i="1"/>
  <c r="G70" i="1" s="1"/>
  <c r="O69" i="1"/>
  <c r="N69" i="1"/>
  <c r="M69" i="1"/>
  <c r="L69" i="1"/>
  <c r="K69" i="1"/>
  <c r="J69" i="1"/>
  <c r="I69" i="1"/>
  <c r="H69" i="1"/>
  <c r="G69" i="1" s="1"/>
  <c r="O68" i="1"/>
  <c r="N68" i="1"/>
  <c r="M68" i="1"/>
  <c r="L68" i="1"/>
  <c r="K68" i="1"/>
  <c r="J68" i="1"/>
  <c r="I68" i="1"/>
  <c r="H68" i="1"/>
  <c r="G68" i="1" s="1"/>
  <c r="O67" i="1"/>
  <c r="N67" i="1"/>
  <c r="M67" i="1"/>
  <c r="L67" i="1"/>
  <c r="K67" i="1"/>
  <c r="J67" i="1"/>
  <c r="I67" i="1"/>
  <c r="H67" i="1"/>
  <c r="G67" i="1" s="1"/>
  <c r="O66" i="1"/>
  <c r="N66" i="1"/>
  <c r="M66" i="1"/>
  <c r="L66" i="1"/>
  <c r="K66" i="1"/>
  <c r="J66" i="1"/>
  <c r="I66" i="1"/>
  <c r="H66" i="1"/>
  <c r="G66" i="1" s="1"/>
  <c r="O65" i="1"/>
  <c r="N65" i="1"/>
  <c r="M65" i="1"/>
  <c r="L65" i="1"/>
  <c r="K65" i="1"/>
  <c r="J65" i="1"/>
  <c r="I65" i="1"/>
  <c r="H65" i="1"/>
  <c r="G65" i="1" s="1"/>
  <c r="O64" i="1"/>
  <c r="N64" i="1"/>
  <c r="M64" i="1"/>
  <c r="L64" i="1"/>
  <c r="K64" i="1"/>
  <c r="J64" i="1"/>
  <c r="I64" i="1"/>
  <c r="H64" i="1"/>
  <c r="G64" i="1" s="1"/>
  <c r="O63" i="1"/>
  <c r="N63" i="1"/>
  <c r="M63" i="1"/>
  <c r="L63" i="1"/>
  <c r="K63" i="1"/>
  <c r="J63" i="1"/>
  <c r="I63" i="1"/>
  <c r="H63" i="1"/>
  <c r="G63" i="1" s="1"/>
  <c r="O62" i="1"/>
  <c r="N62" i="1"/>
  <c r="M62" i="1"/>
  <c r="L62" i="1"/>
  <c r="K62" i="1"/>
  <c r="J62" i="1"/>
  <c r="I62" i="1"/>
  <c r="H62" i="1"/>
  <c r="G62" i="1" s="1"/>
  <c r="O61" i="1"/>
  <c r="N61" i="1"/>
  <c r="M61" i="1"/>
  <c r="L61" i="1"/>
  <c r="K61" i="1"/>
  <c r="J61" i="1"/>
  <c r="I61" i="1"/>
  <c r="H61" i="1"/>
  <c r="G61" i="1" s="1"/>
  <c r="O60" i="1"/>
  <c r="N60" i="1"/>
  <c r="M60" i="1"/>
  <c r="L60" i="1"/>
  <c r="K60" i="1"/>
  <c r="J60" i="1"/>
  <c r="I60" i="1"/>
  <c r="H60" i="1"/>
  <c r="G60" i="1" s="1"/>
  <c r="O59" i="1"/>
  <c r="N59" i="1"/>
  <c r="M59" i="1"/>
  <c r="L59" i="1"/>
  <c r="K59" i="1"/>
  <c r="J59" i="1"/>
  <c r="I59" i="1"/>
  <c r="H59" i="1"/>
  <c r="G59" i="1" s="1"/>
  <c r="O58" i="1"/>
  <c r="N58" i="1"/>
  <c r="M58" i="1"/>
  <c r="L58" i="1"/>
  <c r="K58" i="1"/>
  <c r="J58" i="1"/>
  <c r="I58" i="1"/>
  <c r="H58" i="1"/>
  <c r="G58" i="1" s="1"/>
  <c r="O57" i="1"/>
  <c r="N57" i="1"/>
  <c r="M57" i="1"/>
  <c r="L57" i="1"/>
  <c r="K57" i="1"/>
  <c r="J57" i="1"/>
  <c r="I57" i="1"/>
  <c r="H57" i="1"/>
  <c r="G57" i="1" s="1"/>
  <c r="O56" i="1"/>
  <c r="N56" i="1"/>
  <c r="M56" i="1"/>
  <c r="L56" i="1"/>
  <c r="K56" i="1"/>
  <c r="J56" i="1"/>
  <c r="I56" i="1"/>
  <c r="H56" i="1"/>
  <c r="G56" i="1" s="1"/>
  <c r="O55" i="1"/>
  <c r="N55" i="1"/>
  <c r="M55" i="1"/>
  <c r="L55" i="1"/>
  <c r="K55" i="1"/>
  <c r="J55" i="1"/>
  <c r="I55" i="1"/>
  <c r="H55" i="1"/>
  <c r="G55" i="1" s="1"/>
  <c r="O54" i="1"/>
  <c r="N54" i="1"/>
  <c r="M54" i="1"/>
  <c r="L54" i="1"/>
  <c r="K54" i="1"/>
  <c r="J54" i="1"/>
  <c r="I54" i="1"/>
  <c r="H54" i="1"/>
  <c r="G54" i="1" s="1"/>
  <c r="O53" i="1"/>
  <c r="N53" i="1"/>
  <c r="M53" i="1"/>
  <c r="L53" i="1"/>
  <c r="K53" i="1"/>
  <c r="J53" i="1"/>
  <c r="I53" i="1"/>
  <c r="H53" i="1"/>
  <c r="G53" i="1" s="1"/>
  <c r="O52" i="1"/>
  <c r="N52" i="1"/>
  <c r="M52" i="1"/>
  <c r="L52" i="1"/>
  <c r="K52" i="1"/>
  <c r="J52" i="1"/>
  <c r="I52" i="1"/>
  <c r="H52" i="1"/>
  <c r="G52" i="1" s="1"/>
  <c r="O51" i="1"/>
  <c r="N51" i="1"/>
  <c r="M51" i="1"/>
  <c r="L51" i="1"/>
  <c r="K51" i="1"/>
  <c r="J51" i="1"/>
  <c r="I51" i="1"/>
  <c r="H51" i="1"/>
  <c r="G51" i="1" s="1"/>
  <c r="O50" i="1"/>
  <c r="N50" i="1"/>
  <c r="M50" i="1"/>
  <c r="L50" i="1"/>
  <c r="K50" i="1"/>
  <c r="J50" i="1"/>
  <c r="I50" i="1"/>
  <c r="H50" i="1"/>
  <c r="G50" i="1" s="1"/>
  <c r="O49" i="1"/>
  <c r="N49" i="1"/>
  <c r="M49" i="1"/>
  <c r="L49" i="1"/>
  <c r="K49" i="1"/>
  <c r="J49" i="1"/>
  <c r="I49" i="1"/>
  <c r="H49" i="1"/>
  <c r="G49" i="1" s="1"/>
  <c r="O48" i="1"/>
  <c r="N48" i="1"/>
  <c r="M48" i="1"/>
  <c r="L48" i="1"/>
  <c r="K48" i="1"/>
  <c r="J48" i="1"/>
  <c r="I48" i="1"/>
  <c r="H48" i="1"/>
  <c r="G48" i="1" s="1"/>
  <c r="O47" i="1"/>
  <c r="N47" i="1"/>
  <c r="M47" i="1"/>
  <c r="L47" i="1"/>
  <c r="K47" i="1"/>
  <c r="J47" i="1"/>
  <c r="I47" i="1"/>
  <c r="H47" i="1"/>
  <c r="G47" i="1" s="1"/>
  <c r="O46" i="1"/>
  <c r="N46" i="1"/>
  <c r="M46" i="1"/>
  <c r="L46" i="1"/>
  <c r="K46" i="1"/>
  <c r="J46" i="1"/>
  <c r="I46" i="1"/>
  <c r="H46" i="1"/>
  <c r="G46" i="1" s="1"/>
  <c r="O45" i="1"/>
  <c r="N45" i="1"/>
  <c r="M45" i="1"/>
  <c r="L45" i="1"/>
  <c r="K45" i="1"/>
  <c r="J45" i="1"/>
  <c r="I45" i="1"/>
  <c r="H45" i="1"/>
  <c r="G45" i="1" s="1"/>
  <c r="O44" i="1"/>
  <c r="N44" i="1"/>
  <c r="M44" i="1"/>
  <c r="L44" i="1"/>
  <c r="K44" i="1"/>
  <c r="J44" i="1"/>
  <c r="I44" i="1"/>
  <c r="H44" i="1"/>
  <c r="G44" i="1" s="1"/>
  <c r="O43" i="1"/>
  <c r="N43" i="1"/>
  <c r="M43" i="1"/>
  <c r="L43" i="1"/>
  <c r="K43" i="1"/>
  <c r="J43" i="1"/>
  <c r="I43" i="1"/>
  <c r="H43" i="1"/>
  <c r="G43" i="1" s="1"/>
  <c r="O42" i="1"/>
  <c r="N42" i="1"/>
  <c r="M42" i="1"/>
  <c r="L42" i="1"/>
  <c r="K42" i="1"/>
  <c r="J42" i="1"/>
  <c r="I42" i="1"/>
  <c r="H42" i="1"/>
  <c r="G42" i="1" s="1"/>
  <c r="O41" i="1"/>
  <c r="N41" i="1"/>
  <c r="M41" i="1"/>
  <c r="L41" i="1"/>
  <c r="K41" i="1"/>
  <c r="J41" i="1"/>
  <c r="I41" i="1"/>
  <c r="H41" i="1"/>
  <c r="G41" i="1" s="1"/>
  <c r="O40" i="1"/>
  <c r="N40" i="1"/>
  <c r="M40" i="1"/>
  <c r="L40" i="1"/>
  <c r="K40" i="1"/>
  <c r="J40" i="1"/>
  <c r="I40" i="1"/>
  <c r="H40" i="1"/>
  <c r="G40" i="1" s="1"/>
  <c r="O39" i="1"/>
  <c r="N39" i="1"/>
  <c r="M39" i="1"/>
  <c r="L39" i="1"/>
  <c r="K39" i="1"/>
  <c r="J39" i="1"/>
  <c r="I39" i="1"/>
  <c r="H39" i="1"/>
  <c r="G39" i="1" s="1"/>
  <c r="O38" i="1"/>
  <c r="N38" i="1"/>
  <c r="M38" i="1"/>
  <c r="L38" i="1"/>
  <c r="K38" i="1"/>
  <c r="J38" i="1"/>
  <c r="I38" i="1"/>
  <c r="H38" i="1"/>
  <c r="G38" i="1" s="1"/>
  <c r="O37" i="1"/>
  <c r="N37" i="1"/>
  <c r="M37" i="1"/>
  <c r="L37" i="1"/>
  <c r="K37" i="1"/>
  <c r="J37" i="1"/>
  <c r="I37" i="1"/>
  <c r="H37" i="1"/>
  <c r="G37" i="1" s="1"/>
  <c r="O36" i="1"/>
  <c r="N36" i="1"/>
  <c r="M36" i="1"/>
  <c r="L36" i="1"/>
  <c r="K36" i="1"/>
  <c r="J36" i="1"/>
  <c r="I36" i="1"/>
  <c r="H36" i="1"/>
  <c r="G36" i="1" s="1"/>
  <c r="O35" i="1"/>
  <c r="N35" i="1"/>
  <c r="M35" i="1"/>
  <c r="L35" i="1"/>
  <c r="K35" i="1"/>
  <c r="J35" i="1"/>
  <c r="I35" i="1"/>
  <c r="H35" i="1"/>
  <c r="G35" i="1" s="1"/>
  <c r="O34" i="1"/>
  <c r="N34" i="1"/>
  <c r="M34" i="1"/>
  <c r="L34" i="1"/>
  <c r="K34" i="1"/>
  <c r="J34" i="1"/>
  <c r="I34" i="1"/>
  <c r="H34" i="1"/>
  <c r="G34" i="1" s="1"/>
  <c r="O33" i="1"/>
  <c r="N33" i="1"/>
  <c r="M33" i="1"/>
  <c r="L33" i="1"/>
  <c r="K33" i="1"/>
  <c r="J33" i="1"/>
  <c r="I33" i="1"/>
  <c r="H33" i="1"/>
  <c r="G33" i="1" s="1"/>
  <c r="O32" i="1"/>
  <c r="N32" i="1"/>
  <c r="M32" i="1"/>
  <c r="L32" i="1"/>
  <c r="K32" i="1"/>
  <c r="J32" i="1"/>
  <c r="I32" i="1"/>
  <c r="H32" i="1"/>
  <c r="G32" i="1" s="1"/>
  <c r="O31" i="1"/>
  <c r="N31" i="1"/>
  <c r="M31" i="1"/>
  <c r="L31" i="1"/>
  <c r="K31" i="1"/>
  <c r="J31" i="1"/>
  <c r="I31" i="1"/>
  <c r="H31" i="1"/>
  <c r="G31" i="1" s="1"/>
  <c r="O30" i="1"/>
  <c r="N30" i="1"/>
  <c r="M30" i="1"/>
  <c r="L30" i="1"/>
  <c r="K30" i="1"/>
  <c r="J30" i="1"/>
  <c r="I30" i="1"/>
  <c r="H30" i="1"/>
  <c r="G30" i="1" s="1"/>
  <c r="O29" i="1"/>
  <c r="N29" i="1"/>
  <c r="M29" i="1"/>
  <c r="L29" i="1"/>
  <c r="K29" i="1"/>
  <c r="J29" i="1"/>
  <c r="I29" i="1"/>
  <c r="H29" i="1"/>
  <c r="G29" i="1" s="1"/>
  <c r="O28" i="1"/>
  <c r="N28" i="1"/>
  <c r="M28" i="1"/>
  <c r="L28" i="1"/>
  <c r="K28" i="1"/>
  <c r="J28" i="1"/>
  <c r="I28" i="1"/>
  <c r="H28" i="1"/>
  <c r="G28" i="1" s="1"/>
  <c r="O27" i="1"/>
  <c r="N27" i="1"/>
  <c r="M27" i="1"/>
  <c r="L27" i="1"/>
  <c r="K27" i="1"/>
  <c r="J27" i="1"/>
  <c r="I27" i="1"/>
  <c r="H27" i="1"/>
  <c r="G27" i="1" s="1"/>
  <c r="O26" i="1"/>
  <c r="N26" i="1"/>
  <c r="M26" i="1"/>
  <c r="L26" i="1"/>
  <c r="K26" i="1"/>
  <c r="J26" i="1"/>
  <c r="I26" i="1"/>
  <c r="H26" i="1"/>
  <c r="G26" i="1" s="1"/>
  <c r="O25" i="1"/>
  <c r="N25" i="1"/>
  <c r="M25" i="1"/>
  <c r="L25" i="1"/>
  <c r="K25" i="1"/>
  <c r="J25" i="1"/>
  <c r="I25" i="1"/>
  <c r="H25" i="1"/>
  <c r="G25" i="1" s="1"/>
  <c r="O24" i="1"/>
  <c r="N24" i="1"/>
  <c r="M24" i="1"/>
  <c r="L24" i="1"/>
  <c r="K24" i="1"/>
  <c r="J24" i="1"/>
  <c r="I24" i="1"/>
  <c r="H24" i="1"/>
  <c r="G24" i="1" s="1"/>
  <c r="O23" i="1"/>
  <c r="N23" i="1"/>
  <c r="M23" i="1"/>
  <c r="L23" i="1"/>
  <c r="K23" i="1"/>
  <c r="J23" i="1"/>
  <c r="I23" i="1"/>
  <c r="H23" i="1"/>
  <c r="G23" i="1" s="1"/>
  <c r="O22" i="1"/>
  <c r="N22" i="1"/>
  <c r="M22" i="1"/>
  <c r="L22" i="1"/>
  <c r="K22" i="1"/>
  <c r="J22" i="1"/>
  <c r="I22" i="1"/>
  <c r="H22" i="1"/>
  <c r="G22" i="1" s="1"/>
  <c r="O21" i="1"/>
  <c r="N21" i="1"/>
  <c r="M21" i="1"/>
  <c r="L21" i="1"/>
  <c r="K21" i="1"/>
  <c r="J21" i="1"/>
  <c r="I21" i="1"/>
  <c r="H21" i="1"/>
  <c r="G21" i="1" s="1"/>
  <c r="O20" i="1"/>
  <c r="N20" i="1"/>
  <c r="M20" i="1"/>
  <c r="L20" i="1"/>
  <c r="K20" i="1"/>
  <c r="J20" i="1"/>
  <c r="I20" i="1"/>
  <c r="H20" i="1"/>
  <c r="G20" i="1" s="1"/>
  <c r="O19" i="1"/>
  <c r="N19" i="1"/>
  <c r="M19" i="1"/>
  <c r="L19" i="1"/>
  <c r="K19" i="1"/>
  <c r="J19" i="1"/>
  <c r="I19" i="1"/>
  <c r="H19" i="1"/>
  <c r="G19" i="1" s="1"/>
  <c r="O18" i="1"/>
  <c r="N18" i="1"/>
  <c r="M18" i="1"/>
  <c r="L18" i="1"/>
  <c r="K18" i="1"/>
  <c r="J18" i="1"/>
  <c r="I18" i="1"/>
  <c r="H18" i="1"/>
  <c r="G18" i="1" s="1"/>
  <c r="O17" i="1"/>
  <c r="N17" i="1"/>
  <c r="M17" i="1"/>
  <c r="L17" i="1"/>
  <c r="K17" i="1"/>
  <c r="J17" i="1"/>
  <c r="I17" i="1"/>
  <c r="H17" i="1"/>
  <c r="G17" i="1" s="1"/>
  <c r="O16" i="1"/>
  <c r="N16" i="1"/>
  <c r="M16" i="1"/>
  <c r="L16" i="1"/>
  <c r="K16" i="1"/>
  <c r="J16" i="1"/>
  <c r="I16" i="1"/>
  <c r="H16" i="1"/>
  <c r="G16" i="1" s="1"/>
  <c r="O15" i="1"/>
  <c r="N15" i="1"/>
  <c r="M15" i="1"/>
  <c r="L15" i="1"/>
  <c r="K15" i="1"/>
  <c r="J15" i="1"/>
  <c r="I15" i="1"/>
  <c r="H15" i="1"/>
  <c r="G15" i="1" s="1"/>
  <c r="O14" i="1"/>
  <c r="N14" i="1"/>
  <c r="M14" i="1"/>
  <c r="L14" i="1"/>
  <c r="K14" i="1"/>
  <c r="J14" i="1"/>
  <c r="I14" i="1"/>
  <c r="H14" i="1"/>
  <c r="G14" i="1" s="1"/>
  <c r="O13" i="1"/>
  <c r="N13" i="1"/>
  <c r="M13" i="1"/>
  <c r="L13" i="1"/>
  <c r="K13" i="1"/>
  <c r="J13" i="1"/>
  <c r="I13" i="1"/>
  <c r="H13" i="1"/>
  <c r="G13" i="1" s="1"/>
  <c r="O12" i="1"/>
  <c r="N12" i="1"/>
  <c r="M12" i="1"/>
  <c r="L12" i="1"/>
  <c r="K12" i="1"/>
  <c r="J12" i="1"/>
  <c r="I12" i="1"/>
  <c r="H12" i="1"/>
  <c r="G12" i="1" s="1"/>
  <c r="O11" i="1"/>
  <c r="N11" i="1"/>
  <c r="M11" i="1"/>
  <c r="L11" i="1"/>
  <c r="K11" i="1"/>
  <c r="J11" i="1"/>
  <c r="I11" i="1"/>
  <c r="H11" i="1"/>
  <c r="G11" i="1" s="1"/>
  <c r="O10" i="1"/>
  <c r="N10" i="1"/>
  <c r="M10" i="1"/>
  <c r="L10" i="1"/>
  <c r="K10" i="1"/>
  <c r="J10" i="1"/>
  <c r="I10" i="1"/>
  <c r="H10" i="1"/>
  <c r="G10" i="1" s="1"/>
  <c r="O9" i="1"/>
  <c r="N9" i="1"/>
  <c r="M9" i="1"/>
  <c r="L9" i="1"/>
  <c r="K9" i="1"/>
  <c r="J9" i="1"/>
  <c r="I9" i="1"/>
  <c r="H9" i="1"/>
  <c r="G9" i="1" s="1"/>
  <c r="O8" i="1"/>
  <c r="N8" i="1"/>
  <c r="M8" i="1"/>
  <c r="L8" i="1"/>
  <c r="K8" i="1"/>
  <c r="J8" i="1"/>
  <c r="I8" i="1"/>
  <c r="H8" i="1"/>
  <c r="G8" i="1" s="1"/>
  <c r="O7" i="1"/>
  <c r="N7" i="1"/>
  <c r="M7" i="1"/>
  <c r="L7" i="1"/>
  <c r="K7" i="1"/>
  <c r="J7" i="1"/>
  <c r="I7" i="1"/>
  <c r="H7" i="1"/>
  <c r="G7" i="1" s="1"/>
  <c r="O6" i="1"/>
  <c r="N6" i="1"/>
  <c r="M6" i="1"/>
  <c r="L6" i="1"/>
  <c r="K6" i="1"/>
  <c r="J6" i="1"/>
  <c r="I6" i="1"/>
  <c r="H6" i="1"/>
  <c r="G6" i="1" s="1"/>
  <c r="O5" i="1"/>
  <c r="N5" i="1"/>
  <c r="M5" i="1"/>
  <c r="L5" i="1"/>
  <c r="K5" i="1"/>
  <c r="J5" i="1"/>
  <c r="I5" i="1"/>
  <c r="H5" i="1"/>
  <c r="G5" i="1" s="1"/>
  <c r="O4" i="1"/>
  <c r="N4" i="1"/>
  <c r="M4" i="1"/>
  <c r="L4" i="1"/>
  <c r="K4" i="1"/>
  <c r="J4" i="1"/>
  <c r="I4" i="1"/>
  <c r="H4" i="1"/>
  <c r="G4" i="1" s="1"/>
  <c r="O3" i="1"/>
  <c r="N3" i="1"/>
  <c r="M3" i="1"/>
  <c r="L3" i="1"/>
  <c r="K3" i="1"/>
  <c r="J3" i="1"/>
  <c r="I3" i="1"/>
  <c r="G3" i="1"/>
</calcChain>
</file>

<file path=xl/sharedStrings.xml><?xml version="1.0" encoding="utf-8"?>
<sst xmlns="http://schemas.openxmlformats.org/spreadsheetml/2006/main" count="87" uniqueCount="67">
  <si>
    <t>month</t>
  </si>
  <si>
    <t>day_month</t>
  </si>
  <si>
    <t>day_week</t>
  </si>
  <si>
    <t>fluctuation</t>
  </si>
  <si>
    <t>closed</t>
  </si>
  <si>
    <t>open</t>
  </si>
  <si>
    <t>date</t>
  </si>
  <si>
    <t>high</t>
  </si>
  <si>
    <t>low</t>
  </si>
  <si>
    <t>vol.</t>
  </si>
  <si>
    <t>closed_var</t>
  </si>
  <si>
    <t>open_var</t>
  </si>
  <si>
    <t>high_var</t>
  </si>
  <si>
    <t>low_var</t>
  </si>
  <si>
    <t>vol_var</t>
  </si>
  <si>
    <t>Note</t>
  </si>
  <si>
    <t>I</t>
  </si>
  <si>
    <t>H</t>
  </si>
  <si>
    <t>G</t>
  </si>
  <si>
    <t>Giorno della settimana numerico (1=Lunedì, 2=Martedì, 3=Mercoledì, 4=Giovedì, 5=Venerdì). Utile per analisi stagionali settimanali.</t>
  </si>
  <si>
    <t>Giorno della settimana</t>
  </si>
  <si>
    <t>O</t>
  </si>
  <si>
    <t>Giorno del mese (1-31) estratto dalla colonna data. Utile per analisi stagionali giornaliere.</t>
  </si>
  <si>
    <t>Giorno del mese</t>
  </si>
  <si>
    <t>N</t>
  </si>
  <si>
    <t>Numero del mese (1-12) estratto dalla colonna data. Utile per analisi stagionali mensili.</t>
  </si>
  <si>
    <t>Mese dell'anno</t>
  </si>
  <si>
    <t>M</t>
  </si>
  <si>
    <t>Variazione percentuale del volume scambiato rispetto al giorno precedente. In forma decimale.</t>
  </si>
  <si>
    <t>Variazione percentuale volume</t>
  </si>
  <si>
    <t>L</t>
  </si>
  <si>
    <t>Variazione percentuale del prezzo minimo rispetto al giorno precedente. In forma decimale.</t>
  </si>
  <si>
    <t>Variazione percentuale prezzo minimo</t>
  </si>
  <si>
    <t>K</t>
  </si>
  <si>
    <t>Variazione percentuale del prezzo massimo rispetto al giorno precedente. In forma decimale.</t>
  </si>
  <si>
    <t>Variazione percentuale prezzo massimo</t>
  </si>
  <si>
    <t>J</t>
  </si>
  <si>
    <t>Variazione percentuale del prezzo di apertura rispetto al giorno precedente. In forma decimale.</t>
  </si>
  <si>
    <t>Variazione percentuale prezzo apertura</t>
  </si>
  <si>
    <t>Variazione percentuale del prezzo di chiusura rispetto al giorno precedente. In forma decimale (es: 0.001050 = 0.105%).</t>
  </si>
  <si>
    <t>Variazione percentuale prezzo chiusura</t>
  </si>
  <si>
    <t>1 se il prezzo di chiusura è maggiore di quello del giorno precedente, 0 altrimenti. Indica un giorno positivo rispetto al precedente.</t>
  </si>
  <si>
    <t>Indicatore trend positivo</t>
  </si>
  <si>
    <t>Volume totale scambiato durante la giornata</t>
  </si>
  <si>
    <t>Input originale</t>
  </si>
  <si>
    <t>Volume scambiato</t>
  </si>
  <si>
    <t>F</t>
  </si>
  <si>
    <t>Prezzo minimo raggiunto durante la giornata</t>
  </si>
  <si>
    <t>Prezzo minimo</t>
  </si>
  <si>
    <t>E</t>
  </si>
  <si>
    <t>Prezzo massimo raggiunto durante la giornata</t>
  </si>
  <si>
    <t>Prezzo massimo</t>
  </si>
  <si>
    <t>D</t>
  </si>
  <si>
    <t>Prezzo di apertura del contratto futures</t>
  </si>
  <si>
    <t>Prezzo di apertura</t>
  </si>
  <si>
    <t>C</t>
  </si>
  <si>
    <t>Prezzo di chiusura del contratto futures</t>
  </si>
  <si>
    <t>Prezzo di chiusura</t>
  </si>
  <si>
    <t>B</t>
  </si>
  <si>
    <t>Data in formato datetime</t>
  </si>
  <si>
    <t>Data (timestamp)</t>
  </si>
  <si>
    <t>A</t>
  </si>
  <si>
    <t>Formula Excel</t>
  </si>
  <si>
    <t>Descrizione</t>
  </si>
  <si>
    <t>Nome Variabile</t>
  </si>
  <si>
    <t>Colonna</t>
  </si>
  <si>
    <t>LEGENDA DATASET: FTSE_MIB_Futures_con_stagionalita.xlsx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</si>
</sst>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.0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</font>
    <font>
      <i/>
      <sz val="10"/>
      <name val="Courier New"/>
      <family val="1"/>
    </font>
    <font>
      <b/>
      <sz val="12"/>
      <color rgb="FFFFFFFF"/>
      <name val="Calibri"/>
      <family val="2"/>
    </font>
    <font>
      <b/>
      <sz val="11"/>
      <name val="Calibri"/>
      <family val="2"/>
    </font>
    <font>
      <b/>
      <i/>
      <sz val="10"/>
      <name val="Calibri"/>
      <family val="2"/>
    </font>
    <font>
      <b/>
      <sz val="16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366092"/>
        <bgColor rgb="FF366092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36609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5" fontId="0" fillId="2" borderId="0" xfId="0" applyNumberFormat="1" applyFill="1"/>
    <xf numFmtId="0" fontId="1" fillId="2" borderId="2" xfId="0" applyFont="1" applyFill="1" applyBorder="1" applyAlignment="1">
      <alignment horizontal="center" vertical="top"/>
    </xf>
    <xf numFmtId="0" fontId="0" fillId="2" borderId="0" xfId="0" applyFill="1"/>
    <xf numFmtId="1" fontId="1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0" fillId="0" borderId="0" xfId="0"/>
    <xf numFmtId="0" fontId="5" fillId="0" borderId="0" xfId="0" applyFont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0" fillId="5" borderId="0" xfId="0" applyFill="1"/>
    <xf numFmtId="0" fontId="4" fillId="6" borderId="1" xfId="0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77"/>
  <sheetViews>
    <sheetView workbookViewId="0">
      <selection activeCell="O2" sqref="O2"/>
    </sheetView>
  </sheetViews>
  <sheetFormatPr baseColWidth="10" defaultColWidth="8.83203125" defaultRowHeight="15" x14ac:dyDescent="0.2"/>
  <cols>
    <col min="1" max="1" width="11.33203125" customWidth="1"/>
    <col min="2" max="5" width="8.83203125" style="3"/>
    <col min="6" max="6" width="9.6640625" style="3" bestFit="1" customWidth="1"/>
    <col min="7" max="7" width="10" style="7" customWidth="1"/>
    <col min="8" max="8" width="10.33203125" style="5" customWidth="1"/>
    <col min="9" max="11" width="8.83203125" style="4"/>
    <col min="12" max="12" width="9.6640625" style="4" bestFit="1" customWidth="1"/>
    <col min="14" max="14" width="10" customWidth="1"/>
  </cols>
  <sheetData>
    <row r="1" spans="1:15" x14ac:dyDescent="0.2">
      <c r="A1" s="1" t="s">
        <v>6</v>
      </c>
      <c r="B1" s="8" t="s">
        <v>4</v>
      </c>
      <c r="C1" s="8" t="s">
        <v>5</v>
      </c>
      <c r="D1" s="8" t="s">
        <v>7</v>
      </c>
      <c r="E1" s="8" t="s">
        <v>8</v>
      </c>
      <c r="F1" s="8" t="s">
        <v>9</v>
      </c>
      <c r="G1" s="6" t="s">
        <v>3</v>
      </c>
      <c r="H1" s="5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t="s">
        <v>0</v>
      </c>
      <c r="N1" t="s">
        <v>1</v>
      </c>
      <c r="O1" t="s">
        <v>2</v>
      </c>
    </row>
    <row r="2" spans="1:15" x14ac:dyDescent="0.2">
      <c r="A2" s="2">
        <v>43734</v>
      </c>
      <c r="B2" s="3">
        <v>21895</v>
      </c>
      <c r="C2" s="3">
        <v>21715</v>
      </c>
      <c r="D2" s="3">
        <v>21945</v>
      </c>
      <c r="E2" s="3">
        <v>21710</v>
      </c>
      <c r="F2" s="3">
        <v>20170</v>
      </c>
      <c r="M2" s="3">
        <f t="shared" ref="M2:M65" si="0">MONTH(A2)</f>
        <v>9</v>
      </c>
      <c r="N2" s="3">
        <f t="shared" ref="N2:N65" si="1">DAY(A2)</f>
        <v>26</v>
      </c>
      <c r="O2" s="3">
        <f t="shared" ref="O2:O65" si="2">WEEKDAY(A2,2)</f>
        <v>4</v>
      </c>
    </row>
    <row r="3" spans="1:15" x14ac:dyDescent="0.2">
      <c r="A3" s="2">
        <v>43735</v>
      </c>
      <c r="B3" s="3">
        <v>21918</v>
      </c>
      <c r="C3" s="3">
        <v>21960</v>
      </c>
      <c r="D3" s="3">
        <v>21970</v>
      </c>
      <c r="E3" s="3">
        <v>21830</v>
      </c>
      <c r="F3" s="3">
        <v>12430</v>
      </c>
      <c r="G3" s="7">
        <f>IF(H3&lt;0, 0, 1)</f>
        <v>1</v>
      </c>
      <c r="H3" s="5">
        <f>(B3-B2)/B2</f>
        <v>1.0504681434117379E-3</v>
      </c>
      <c r="I3" s="4">
        <f>(C3-C2)/C2</f>
        <v>1.1282523601197329E-2</v>
      </c>
      <c r="J3" s="4">
        <f>(D3-D2)/D2</f>
        <v>1.139211665527455E-3</v>
      </c>
      <c r="K3" s="4">
        <f>(E3-E2)/E2</f>
        <v>5.5274067250115156E-3</v>
      </c>
      <c r="L3" s="4">
        <f>(F3-F2)/F2</f>
        <v>-0.38373822508676253</v>
      </c>
      <c r="M3" s="3">
        <f t="shared" si="0"/>
        <v>9</v>
      </c>
      <c r="N3" s="3">
        <f t="shared" si="1"/>
        <v>27</v>
      </c>
      <c r="O3" s="3">
        <f t="shared" si="2"/>
        <v>5</v>
      </c>
    </row>
    <row r="4" spans="1:15" x14ac:dyDescent="0.2">
      <c r="A4" s="2">
        <v>43738</v>
      </c>
      <c r="B4" s="3">
        <v>22066</v>
      </c>
      <c r="C4" s="3">
        <v>21925</v>
      </c>
      <c r="D4" s="3">
        <v>22090</v>
      </c>
      <c r="E4" s="3">
        <v>21870</v>
      </c>
      <c r="F4" s="3">
        <v>16850</v>
      </c>
      <c r="G4" s="7">
        <f t="shared" ref="G4:G67" si="3">IF(H4&lt;0, 0, 1)</f>
        <v>1</v>
      </c>
      <c r="H4" s="5">
        <f t="shared" ref="H4:H66" si="4">(B4-B3)/B3</f>
        <v>6.7524409161419836E-3</v>
      </c>
      <c r="I4" s="4">
        <f t="shared" ref="I4:I66" si="5">(C4-C3)/C3</f>
        <v>-1.5938069216757742E-3</v>
      </c>
      <c r="J4" s="4">
        <f t="shared" ref="J4:J66" si="6">(D4-D3)/D3</f>
        <v>5.4619936276741011E-3</v>
      </c>
      <c r="K4" s="4">
        <f t="shared" ref="K4:K66" si="7">(E4-E3)/E3</f>
        <v>1.8323408153916628E-3</v>
      </c>
      <c r="L4" s="4">
        <f t="shared" ref="L4:L66" si="8">(F4-F3)/F3</f>
        <v>0.35559131134352373</v>
      </c>
      <c r="M4" s="3">
        <f t="shared" si="0"/>
        <v>9</v>
      </c>
      <c r="N4" s="3">
        <f t="shared" si="1"/>
        <v>30</v>
      </c>
      <c r="O4" s="3">
        <f t="shared" si="2"/>
        <v>1</v>
      </c>
    </row>
    <row r="5" spans="1:15" x14ac:dyDescent="0.2">
      <c r="A5" s="2">
        <v>43739</v>
      </c>
      <c r="B5" s="3">
        <v>21878</v>
      </c>
      <c r="C5" s="3">
        <v>22125</v>
      </c>
      <c r="D5" s="3">
        <v>22235</v>
      </c>
      <c r="E5" s="3">
        <v>21815</v>
      </c>
      <c r="F5" s="3">
        <v>27980</v>
      </c>
      <c r="G5" s="7">
        <f t="shared" si="3"/>
        <v>0</v>
      </c>
      <c r="H5" s="5">
        <f t="shared" si="4"/>
        <v>-8.5198948608719294E-3</v>
      </c>
      <c r="I5" s="4">
        <f t="shared" si="5"/>
        <v>9.1220068415051314E-3</v>
      </c>
      <c r="J5" s="4">
        <f t="shared" si="6"/>
        <v>6.5640561339972842E-3</v>
      </c>
      <c r="K5" s="4">
        <f t="shared" si="7"/>
        <v>-2.5148605395518978E-3</v>
      </c>
      <c r="L5" s="4">
        <f t="shared" si="8"/>
        <v>0.66053412462908012</v>
      </c>
      <c r="M5" s="3">
        <f t="shared" si="0"/>
        <v>10</v>
      </c>
      <c r="N5" s="3">
        <f t="shared" si="1"/>
        <v>1</v>
      </c>
      <c r="O5" s="3">
        <f t="shared" si="2"/>
        <v>2</v>
      </c>
    </row>
    <row r="6" spans="1:15" x14ac:dyDescent="0.2">
      <c r="A6" s="2">
        <v>43740</v>
      </c>
      <c r="B6" s="3">
        <v>21240</v>
      </c>
      <c r="C6" s="3">
        <v>21830</v>
      </c>
      <c r="D6" s="3">
        <v>21840</v>
      </c>
      <c r="E6" s="3">
        <v>21215</v>
      </c>
      <c r="F6" s="3">
        <v>37330</v>
      </c>
      <c r="G6" s="7">
        <f t="shared" si="3"/>
        <v>0</v>
      </c>
      <c r="H6" s="5">
        <f t="shared" si="4"/>
        <v>-2.9161714964804828E-2</v>
      </c>
      <c r="I6" s="4">
        <f t="shared" si="5"/>
        <v>-1.3333333333333334E-2</v>
      </c>
      <c r="J6" s="4">
        <f t="shared" si="6"/>
        <v>-1.7764785248482122E-2</v>
      </c>
      <c r="K6" s="4">
        <f t="shared" si="7"/>
        <v>-2.7504011001604399E-2</v>
      </c>
      <c r="L6" s="4">
        <f t="shared" si="8"/>
        <v>0.33416726233023586</v>
      </c>
      <c r="M6" s="3">
        <f t="shared" si="0"/>
        <v>10</v>
      </c>
      <c r="N6" s="3">
        <f t="shared" si="1"/>
        <v>2</v>
      </c>
      <c r="O6" s="3">
        <f t="shared" si="2"/>
        <v>3</v>
      </c>
    </row>
    <row r="7" spans="1:15" x14ac:dyDescent="0.2">
      <c r="A7" s="2">
        <v>43741</v>
      </c>
      <c r="B7" s="3">
        <v>21225</v>
      </c>
      <c r="C7" s="3">
        <v>21250</v>
      </c>
      <c r="D7" s="3">
        <v>21395</v>
      </c>
      <c r="E7" s="3">
        <v>21060</v>
      </c>
      <c r="F7" s="3">
        <v>35170</v>
      </c>
      <c r="G7" s="7">
        <f t="shared" si="3"/>
        <v>0</v>
      </c>
      <c r="H7" s="5">
        <f t="shared" si="4"/>
        <v>-7.0621468926553672E-4</v>
      </c>
      <c r="I7" s="4">
        <f t="shared" si="5"/>
        <v>-2.656894182317911E-2</v>
      </c>
      <c r="J7" s="4">
        <f t="shared" si="6"/>
        <v>-2.0375457875457876E-2</v>
      </c>
      <c r="K7" s="4">
        <f t="shared" si="7"/>
        <v>-7.3061513080367665E-3</v>
      </c>
      <c r="L7" s="4">
        <f t="shared" si="8"/>
        <v>-5.7862309134744175E-2</v>
      </c>
      <c r="M7" s="3">
        <f t="shared" si="0"/>
        <v>10</v>
      </c>
      <c r="N7" s="3">
        <f t="shared" si="1"/>
        <v>3</v>
      </c>
      <c r="O7" s="3">
        <f t="shared" si="2"/>
        <v>4</v>
      </c>
    </row>
    <row r="8" spans="1:15" x14ac:dyDescent="0.2">
      <c r="A8" s="2">
        <v>43742</v>
      </c>
      <c r="B8" s="3">
        <v>21381</v>
      </c>
      <c r="C8" s="3">
        <v>21280</v>
      </c>
      <c r="D8" s="3">
        <v>21430</v>
      </c>
      <c r="E8" s="3">
        <v>21185</v>
      </c>
      <c r="F8" s="3">
        <v>21750</v>
      </c>
      <c r="G8" s="7">
        <f t="shared" si="3"/>
        <v>1</v>
      </c>
      <c r="H8" s="5">
        <f t="shared" si="4"/>
        <v>7.3498233215547699E-3</v>
      </c>
      <c r="I8" s="4">
        <f t="shared" si="5"/>
        <v>1.411764705882353E-3</v>
      </c>
      <c r="J8" s="4">
        <f t="shared" si="6"/>
        <v>1.635896237438654E-3</v>
      </c>
      <c r="K8" s="4">
        <f t="shared" si="7"/>
        <v>5.9354226020892692E-3</v>
      </c>
      <c r="L8" s="4">
        <f t="shared" si="8"/>
        <v>-0.38157520614159796</v>
      </c>
      <c r="M8" s="3">
        <f t="shared" si="0"/>
        <v>10</v>
      </c>
      <c r="N8" s="3">
        <f t="shared" si="1"/>
        <v>4</v>
      </c>
      <c r="O8" s="3">
        <f t="shared" si="2"/>
        <v>5</v>
      </c>
    </row>
    <row r="9" spans="1:15" x14ac:dyDescent="0.2">
      <c r="A9" s="2">
        <v>43745</v>
      </c>
      <c r="B9" s="3">
        <v>21578</v>
      </c>
      <c r="C9" s="3">
        <v>21365</v>
      </c>
      <c r="D9" s="3">
        <v>21610</v>
      </c>
      <c r="E9" s="3">
        <v>21305</v>
      </c>
      <c r="F9" s="3">
        <v>22170</v>
      </c>
      <c r="G9" s="7">
        <f t="shared" si="3"/>
        <v>1</v>
      </c>
      <c r="H9" s="5">
        <f t="shared" si="4"/>
        <v>9.2137879425658303E-3</v>
      </c>
      <c r="I9" s="4">
        <f t="shared" si="5"/>
        <v>3.9943609022556389E-3</v>
      </c>
      <c r="J9" s="4">
        <f t="shared" si="6"/>
        <v>8.3994400373308443E-3</v>
      </c>
      <c r="K9" s="4">
        <f t="shared" si="7"/>
        <v>5.6643851781921174E-3</v>
      </c>
      <c r="L9" s="4">
        <f t="shared" si="8"/>
        <v>1.9310344827586208E-2</v>
      </c>
      <c r="M9" s="3">
        <f t="shared" si="0"/>
        <v>10</v>
      </c>
      <c r="N9" s="3">
        <f t="shared" si="1"/>
        <v>7</v>
      </c>
      <c r="O9" s="3">
        <f t="shared" si="2"/>
        <v>1</v>
      </c>
    </row>
    <row r="10" spans="1:15" x14ac:dyDescent="0.2">
      <c r="A10" s="2">
        <v>43746</v>
      </c>
      <c r="B10" s="3">
        <v>21336</v>
      </c>
      <c r="C10" s="3">
        <v>21625</v>
      </c>
      <c r="D10" s="3">
        <v>21630</v>
      </c>
      <c r="E10" s="3">
        <v>21265</v>
      </c>
      <c r="F10" s="3">
        <v>23910</v>
      </c>
      <c r="G10" s="7">
        <f t="shared" si="3"/>
        <v>0</v>
      </c>
      <c r="H10" s="5">
        <f t="shared" si="4"/>
        <v>-1.1215126517749559E-2</v>
      </c>
      <c r="I10" s="4">
        <f t="shared" si="5"/>
        <v>1.2169435993447227E-2</v>
      </c>
      <c r="J10" s="4">
        <f t="shared" si="6"/>
        <v>9.254974548819991E-4</v>
      </c>
      <c r="K10" s="4">
        <f t="shared" si="7"/>
        <v>-1.8774935461159353E-3</v>
      </c>
      <c r="L10" s="4">
        <f t="shared" si="8"/>
        <v>7.8484438430311235E-2</v>
      </c>
      <c r="M10" s="3">
        <f t="shared" si="0"/>
        <v>10</v>
      </c>
      <c r="N10" s="3">
        <f t="shared" si="1"/>
        <v>8</v>
      </c>
      <c r="O10" s="3">
        <f t="shared" si="2"/>
        <v>2</v>
      </c>
    </row>
    <row r="11" spans="1:15" x14ac:dyDescent="0.2">
      <c r="A11" s="2">
        <v>43747</v>
      </c>
      <c r="B11" s="3">
        <v>21470</v>
      </c>
      <c r="C11" s="3">
        <v>21345</v>
      </c>
      <c r="D11" s="3">
        <v>21595</v>
      </c>
      <c r="E11" s="3">
        <v>21305</v>
      </c>
      <c r="F11" s="3">
        <v>23910</v>
      </c>
      <c r="G11" s="7">
        <f t="shared" si="3"/>
        <v>1</v>
      </c>
      <c r="H11" s="5">
        <f t="shared" si="4"/>
        <v>6.2804649418822644E-3</v>
      </c>
      <c r="I11" s="4">
        <f t="shared" si="5"/>
        <v>-1.2947976878612717E-2</v>
      </c>
      <c r="J11" s="4">
        <f t="shared" si="6"/>
        <v>-1.6181229773462784E-3</v>
      </c>
      <c r="K11" s="4">
        <f t="shared" si="7"/>
        <v>1.8810251587114979E-3</v>
      </c>
      <c r="L11" s="4">
        <f t="shared" si="8"/>
        <v>0</v>
      </c>
      <c r="M11" s="3">
        <f t="shared" si="0"/>
        <v>10</v>
      </c>
      <c r="N11" s="3">
        <f t="shared" si="1"/>
        <v>9</v>
      </c>
      <c r="O11" s="3">
        <f t="shared" si="2"/>
        <v>3</v>
      </c>
    </row>
    <row r="12" spans="1:15" x14ac:dyDescent="0.2">
      <c r="A12" s="2">
        <v>43748</v>
      </c>
      <c r="B12" s="3">
        <v>21683</v>
      </c>
      <c r="C12" s="3">
        <v>21495</v>
      </c>
      <c r="D12" s="3">
        <v>21700</v>
      </c>
      <c r="E12" s="3">
        <v>21350</v>
      </c>
      <c r="F12" s="3">
        <v>23050</v>
      </c>
      <c r="G12" s="7">
        <f t="shared" si="3"/>
        <v>1</v>
      </c>
      <c r="H12" s="5">
        <f t="shared" si="4"/>
        <v>9.9208197484862599E-3</v>
      </c>
      <c r="I12" s="4">
        <f t="shared" si="5"/>
        <v>7.0274068868587487E-3</v>
      </c>
      <c r="J12" s="4">
        <f t="shared" si="6"/>
        <v>4.8622366288492711E-3</v>
      </c>
      <c r="K12" s="4">
        <f t="shared" si="7"/>
        <v>2.1121802393804273E-3</v>
      </c>
      <c r="L12" s="4">
        <f t="shared" si="8"/>
        <v>-3.5968214136344628E-2</v>
      </c>
      <c r="M12" s="3">
        <f t="shared" si="0"/>
        <v>10</v>
      </c>
      <c r="N12" s="3">
        <f t="shared" si="1"/>
        <v>10</v>
      </c>
      <c r="O12" s="3">
        <f t="shared" si="2"/>
        <v>4</v>
      </c>
    </row>
    <row r="13" spans="1:15" x14ac:dyDescent="0.2">
      <c r="A13" s="2">
        <v>43749</v>
      </c>
      <c r="B13" s="3">
        <v>22113</v>
      </c>
      <c r="C13" s="3">
        <v>21815</v>
      </c>
      <c r="D13" s="3">
        <v>22130</v>
      </c>
      <c r="E13" s="3">
        <v>21710</v>
      </c>
      <c r="F13" s="3">
        <v>29010</v>
      </c>
      <c r="G13" s="7">
        <f t="shared" si="3"/>
        <v>1</v>
      </c>
      <c r="H13" s="5">
        <f t="shared" si="4"/>
        <v>1.9831204169164784E-2</v>
      </c>
      <c r="I13" s="4">
        <f t="shared" si="5"/>
        <v>1.4887183065829262E-2</v>
      </c>
      <c r="J13" s="4">
        <f t="shared" si="6"/>
        <v>1.9815668202764977E-2</v>
      </c>
      <c r="K13" s="4">
        <f t="shared" si="7"/>
        <v>1.6861826697892272E-2</v>
      </c>
      <c r="L13" s="4">
        <f t="shared" si="8"/>
        <v>0.25856832971800436</v>
      </c>
      <c r="M13" s="3">
        <f t="shared" si="0"/>
        <v>10</v>
      </c>
      <c r="N13" s="3">
        <f t="shared" si="1"/>
        <v>11</v>
      </c>
      <c r="O13" s="3">
        <f t="shared" si="2"/>
        <v>5</v>
      </c>
    </row>
    <row r="14" spans="1:15" x14ac:dyDescent="0.2">
      <c r="A14" s="2">
        <v>43752</v>
      </c>
      <c r="B14" s="3">
        <v>22045</v>
      </c>
      <c r="C14" s="3">
        <v>22055</v>
      </c>
      <c r="D14" s="3">
        <v>22100</v>
      </c>
      <c r="E14" s="3">
        <v>21930</v>
      </c>
      <c r="F14" s="3">
        <v>16630</v>
      </c>
      <c r="G14" s="7">
        <f t="shared" si="3"/>
        <v>0</v>
      </c>
      <c r="H14" s="5">
        <f t="shared" si="4"/>
        <v>-3.0751141862252972E-3</v>
      </c>
      <c r="I14" s="4">
        <f t="shared" si="5"/>
        <v>1.1001604400641761E-2</v>
      </c>
      <c r="J14" s="4">
        <f t="shared" si="6"/>
        <v>-1.3556258472661546E-3</v>
      </c>
      <c r="K14" s="4">
        <f t="shared" si="7"/>
        <v>1.0133578995854445E-2</v>
      </c>
      <c r="L14" s="4">
        <f t="shared" si="8"/>
        <v>-0.426749396759738</v>
      </c>
      <c r="M14" s="3">
        <f t="shared" si="0"/>
        <v>10</v>
      </c>
      <c r="N14" s="3">
        <f t="shared" si="1"/>
        <v>14</v>
      </c>
      <c r="O14" s="3">
        <f t="shared" si="2"/>
        <v>1</v>
      </c>
    </row>
    <row r="15" spans="1:15" x14ac:dyDescent="0.2">
      <c r="A15" s="2">
        <v>43753</v>
      </c>
      <c r="B15" s="3">
        <v>22323</v>
      </c>
      <c r="C15" s="3">
        <v>22180</v>
      </c>
      <c r="D15" s="3">
        <v>22355</v>
      </c>
      <c r="E15" s="3">
        <v>22110</v>
      </c>
      <c r="F15" s="3">
        <v>22260</v>
      </c>
      <c r="G15" s="7">
        <f t="shared" si="3"/>
        <v>1</v>
      </c>
      <c r="H15" s="5">
        <f t="shared" si="4"/>
        <v>1.2610569290088455E-2</v>
      </c>
      <c r="I15" s="4">
        <f t="shared" si="5"/>
        <v>5.6676490591702558E-3</v>
      </c>
      <c r="J15" s="4">
        <f t="shared" si="6"/>
        <v>1.1538461538461539E-2</v>
      </c>
      <c r="K15" s="4">
        <f t="shared" si="7"/>
        <v>8.2079343365253077E-3</v>
      </c>
      <c r="L15" s="4">
        <f t="shared" si="8"/>
        <v>0.33854479855682501</v>
      </c>
      <c r="M15" s="3">
        <f t="shared" si="0"/>
        <v>10</v>
      </c>
      <c r="N15" s="3">
        <f t="shared" si="1"/>
        <v>15</v>
      </c>
      <c r="O15" s="3">
        <f t="shared" si="2"/>
        <v>2</v>
      </c>
    </row>
    <row r="16" spans="1:15" x14ac:dyDescent="0.2">
      <c r="A16" s="2">
        <v>43754</v>
      </c>
      <c r="B16" s="3">
        <v>22398</v>
      </c>
      <c r="C16" s="3">
        <v>22300</v>
      </c>
      <c r="D16" s="3">
        <v>22465</v>
      </c>
      <c r="E16" s="3">
        <v>22230</v>
      </c>
      <c r="F16" s="3">
        <v>27880</v>
      </c>
      <c r="G16" s="7">
        <f t="shared" si="3"/>
        <v>1</v>
      </c>
      <c r="H16" s="5">
        <f t="shared" si="4"/>
        <v>3.3597634726515255E-3</v>
      </c>
      <c r="I16" s="4">
        <f t="shared" si="5"/>
        <v>5.4102795311091077E-3</v>
      </c>
      <c r="J16" s="4">
        <f t="shared" si="6"/>
        <v>4.9205994184746138E-3</v>
      </c>
      <c r="K16" s="4">
        <f t="shared" si="7"/>
        <v>5.4274084124830389E-3</v>
      </c>
      <c r="L16" s="4">
        <f t="shared" si="8"/>
        <v>0.25247079964061098</v>
      </c>
      <c r="M16" s="3">
        <f t="shared" si="0"/>
        <v>10</v>
      </c>
      <c r="N16" s="3">
        <f t="shared" si="1"/>
        <v>16</v>
      </c>
      <c r="O16" s="3">
        <f t="shared" si="2"/>
        <v>3</v>
      </c>
    </row>
    <row r="17" spans="1:15" x14ac:dyDescent="0.2">
      <c r="A17" s="2">
        <v>43755</v>
      </c>
      <c r="B17" s="3">
        <v>22356</v>
      </c>
      <c r="C17" s="3">
        <v>22325</v>
      </c>
      <c r="D17" s="3">
        <v>22610</v>
      </c>
      <c r="E17" s="3">
        <v>22260</v>
      </c>
      <c r="F17" s="3">
        <v>27040</v>
      </c>
      <c r="G17" s="7">
        <f t="shared" si="3"/>
        <v>0</v>
      </c>
      <c r="H17" s="5">
        <f t="shared" si="4"/>
        <v>-1.8751674256630056E-3</v>
      </c>
      <c r="I17" s="4">
        <f t="shared" si="5"/>
        <v>1.1210762331838565E-3</v>
      </c>
      <c r="J17" s="4">
        <f t="shared" si="6"/>
        <v>6.4544847540618736E-3</v>
      </c>
      <c r="K17" s="4">
        <f t="shared" si="7"/>
        <v>1.3495276653171389E-3</v>
      </c>
      <c r="L17" s="4">
        <f t="shared" si="8"/>
        <v>-3.0129124820659971E-2</v>
      </c>
      <c r="M17" s="3">
        <f t="shared" si="0"/>
        <v>10</v>
      </c>
      <c r="N17" s="3">
        <f t="shared" si="1"/>
        <v>17</v>
      </c>
      <c r="O17" s="3">
        <f t="shared" si="2"/>
        <v>4</v>
      </c>
    </row>
    <row r="18" spans="1:15" x14ac:dyDescent="0.2">
      <c r="A18" s="2">
        <v>43756</v>
      </c>
      <c r="B18" s="3">
        <v>22270</v>
      </c>
      <c r="C18" s="3">
        <v>22380</v>
      </c>
      <c r="D18" s="3">
        <v>22395</v>
      </c>
      <c r="E18" s="3">
        <v>22235</v>
      </c>
      <c r="F18" s="3">
        <v>20230</v>
      </c>
      <c r="G18" s="7">
        <f t="shared" si="3"/>
        <v>0</v>
      </c>
      <c r="H18" s="5">
        <f t="shared" si="4"/>
        <v>-3.8468420110932188E-3</v>
      </c>
      <c r="I18" s="4">
        <f t="shared" si="5"/>
        <v>2.463605823068309E-3</v>
      </c>
      <c r="J18" s="4">
        <f t="shared" si="6"/>
        <v>-9.5090667846085795E-3</v>
      </c>
      <c r="K18" s="4">
        <f t="shared" si="7"/>
        <v>-1.1230907457322552E-3</v>
      </c>
      <c r="L18" s="4">
        <f t="shared" si="8"/>
        <v>-0.25184911242603553</v>
      </c>
      <c r="M18" s="3">
        <f t="shared" si="0"/>
        <v>10</v>
      </c>
      <c r="N18" s="3">
        <f t="shared" si="1"/>
        <v>18</v>
      </c>
      <c r="O18" s="3">
        <f t="shared" si="2"/>
        <v>5</v>
      </c>
    </row>
    <row r="19" spans="1:15" x14ac:dyDescent="0.2">
      <c r="A19" s="2">
        <v>43759</v>
      </c>
      <c r="B19" s="3">
        <v>22432</v>
      </c>
      <c r="C19" s="3">
        <v>22300</v>
      </c>
      <c r="D19" s="3">
        <v>22450</v>
      </c>
      <c r="E19" s="3">
        <v>22285</v>
      </c>
      <c r="F19" s="3">
        <v>15380</v>
      </c>
      <c r="G19" s="7">
        <f t="shared" si="3"/>
        <v>1</v>
      </c>
      <c r="H19" s="5">
        <f t="shared" si="4"/>
        <v>7.2743601257296816E-3</v>
      </c>
      <c r="I19" s="4">
        <f t="shared" si="5"/>
        <v>-3.5746201966041107E-3</v>
      </c>
      <c r="J19" s="4">
        <f t="shared" si="6"/>
        <v>2.455905336012503E-3</v>
      </c>
      <c r="K19" s="4">
        <f t="shared" si="7"/>
        <v>2.2487069934787498E-3</v>
      </c>
      <c r="L19" s="4">
        <f t="shared" si="8"/>
        <v>-0.23974295600593179</v>
      </c>
      <c r="M19" s="3">
        <f t="shared" si="0"/>
        <v>10</v>
      </c>
      <c r="N19" s="3">
        <f t="shared" si="1"/>
        <v>21</v>
      </c>
      <c r="O19" s="3">
        <f t="shared" si="2"/>
        <v>1</v>
      </c>
    </row>
    <row r="20" spans="1:15" x14ac:dyDescent="0.2">
      <c r="A20" s="2">
        <v>43760</v>
      </c>
      <c r="B20" s="3">
        <v>22452</v>
      </c>
      <c r="C20" s="3">
        <v>22440</v>
      </c>
      <c r="D20" s="3">
        <v>22475</v>
      </c>
      <c r="E20" s="3">
        <v>22305</v>
      </c>
      <c r="F20" s="3">
        <v>15580</v>
      </c>
      <c r="G20" s="7">
        <f t="shared" si="3"/>
        <v>1</v>
      </c>
      <c r="H20" s="5">
        <f t="shared" si="4"/>
        <v>8.9158345221112699E-4</v>
      </c>
      <c r="I20" s="4">
        <f t="shared" si="5"/>
        <v>6.2780269058295961E-3</v>
      </c>
      <c r="J20" s="4">
        <f t="shared" si="6"/>
        <v>1.1135857461024498E-3</v>
      </c>
      <c r="K20" s="4">
        <f t="shared" si="7"/>
        <v>8.9746466232892082E-4</v>
      </c>
      <c r="L20" s="4">
        <f t="shared" si="8"/>
        <v>1.3003901170351105E-2</v>
      </c>
      <c r="M20" s="3">
        <f t="shared" si="0"/>
        <v>10</v>
      </c>
      <c r="N20" s="3">
        <f t="shared" si="1"/>
        <v>22</v>
      </c>
      <c r="O20" s="3">
        <f t="shared" si="2"/>
        <v>2</v>
      </c>
    </row>
    <row r="21" spans="1:15" x14ac:dyDescent="0.2">
      <c r="A21" s="2">
        <v>43761</v>
      </c>
      <c r="B21" s="3">
        <v>22291</v>
      </c>
      <c r="C21" s="3">
        <v>22305</v>
      </c>
      <c r="D21" s="3">
        <v>22395</v>
      </c>
      <c r="E21" s="3">
        <v>22230</v>
      </c>
      <c r="F21" s="3">
        <v>16150</v>
      </c>
      <c r="G21" s="7">
        <f t="shared" si="3"/>
        <v>0</v>
      </c>
      <c r="H21" s="5">
        <f t="shared" si="4"/>
        <v>-7.1708533760912168E-3</v>
      </c>
      <c r="I21" s="4">
        <f t="shared" si="5"/>
        <v>-6.0160427807486629E-3</v>
      </c>
      <c r="J21" s="4">
        <f t="shared" si="6"/>
        <v>-3.5595105672969968E-3</v>
      </c>
      <c r="K21" s="4">
        <f t="shared" si="7"/>
        <v>-3.3624747814391394E-3</v>
      </c>
      <c r="L21" s="4">
        <f t="shared" si="8"/>
        <v>3.6585365853658534E-2</v>
      </c>
      <c r="M21" s="3">
        <f t="shared" si="0"/>
        <v>10</v>
      </c>
      <c r="N21" s="3">
        <f t="shared" si="1"/>
        <v>23</v>
      </c>
      <c r="O21" s="3">
        <f t="shared" si="2"/>
        <v>3</v>
      </c>
    </row>
    <row r="22" spans="1:15" x14ac:dyDescent="0.2">
      <c r="A22" s="2">
        <v>43762</v>
      </c>
      <c r="B22" s="3">
        <v>22487</v>
      </c>
      <c r="C22" s="3">
        <v>22370</v>
      </c>
      <c r="D22" s="3">
        <v>22500</v>
      </c>
      <c r="E22" s="3">
        <v>22345</v>
      </c>
      <c r="F22" s="3">
        <v>17150</v>
      </c>
      <c r="G22" s="7">
        <f t="shared" si="3"/>
        <v>1</v>
      </c>
      <c r="H22" s="5">
        <f t="shared" si="4"/>
        <v>8.7927863263200391E-3</v>
      </c>
      <c r="I22" s="4">
        <f t="shared" si="5"/>
        <v>2.9141448105805875E-3</v>
      </c>
      <c r="J22" s="4">
        <f t="shared" si="6"/>
        <v>4.6885465505693237E-3</v>
      </c>
      <c r="K22" s="4">
        <f t="shared" si="7"/>
        <v>5.1731893837156998E-3</v>
      </c>
      <c r="L22" s="4">
        <f t="shared" si="8"/>
        <v>6.1919504643962849E-2</v>
      </c>
      <c r="M22" s="3">
        <f t="shared" si="0"/>
        <v>10</v>
      </c>
      <c r="N22" s="3">
        <f t="shared" si="1"/>
        <v>24</v>
      </c>
      <c r="O22" s="3">
        <f t="shared" si="2"/>
        <v>4</v>
      </c>
    </row>
    <row r="23" spans="1:15" x14ac:dyDescent="0.2">
      <c r="A23" s="2">
        <v>43763</v>
      </c>
      <c r="B23" s="3">
        <v>22545</v>
      </c>
      <c r="C23" s="3">
        <v>22505</v>
      </c>
      <c r="D23" s="3">
        <v>22575</v>
      </c>
      <c r="E23" s="3">
        <v>22410</v>
      </c>
      <c r="F23" s="3">
        <v>14410</v>
      </c>
      <c r="G23" s="7">
        <f t="shared" si="3"/>
        <v>1</v>
      </c>
      <c r="H23" s="5">
        <f t="shared" si="4"/>
        <v>2.5792680215235468E-3</v>
      </c>
      <c r="I23" s="4">
        <f t="shared" si="5"/>
        <v>6.0348681269557442E-3</v>
      </c>
      <c r="J23" s="4">
        <f t="shared" si="6"/>
        <v>3.3333333333333335E-3</v>
      </c>
      <c r="K23" s="4">
        <f t="shared" si="7"/>
        <v>2.9089281718505259E-3</v>
      </c>
      <c r="L23" s="4">
        <f t="shared" si="8"/>
        <v>-0.1597667638483965</v>
      </c>
      <c r="M23" s="3">
        <f t="shared" si="0"/>
        <v>10</v>
      </c>
      <c r="N23" s="3">
        <f t="shared" si="1"/>
        <v>25</v>
      </c>
      <c r="O23" s="3">
        <f t="shared" si="2"/>
        <v>5</v>
      </c>
    </row>
    <row r="24" spans="1:15" x14ac:dyDescent="0.2">
      <c r="A24" s="2">
        <v>43766</v>
      </c>
      <c r="B24" s="3">
        <v>22650</v>
      </c>
      <c r="C24" s="3">
        <v>22525</v>
      </c>
      <c r="D24" s="3">
        <v>22705</v>
      </c>
      <c r="E24" s="3">
        <v>22475</v>
      </c>
      <c r="F24" s="3">
        <v>14230</v>
      </c>
      <c r="G24" s="7">
        <f t="shared" si="3"/>
        <v>1</v>
      </c>
      <c r="H24" s="5">
        <f t="shared" si="4"/>
        <v>4.6573519627411842E-3</v>
      </c>
      <c r="I24" s="4">
        <f t="shared" si="5"/>
        <v>8.8869140191068653E-4</v>
      </c>
      <c r="J24" s="4">
        <f t="shared" si="6"/>
        <v>5.758582502768549E-3</v>
      </c>
      <c r="K24" s="4">
        <f t="shared" si="7"/>
        <v>2.9004908522980814E-3</v>
      </c>
      <c r="L24" s="4">
        <f t="shared" si="8"/>
        <v>-1.2491325468424705E-2</v>
      </c>
      <c r="M24" s="3">
        <f t="shared" si="0"/>
        <v>10</v>
      </c>
      <c r="N24" s="3">
        <f t="shared" si="1"/>
        <v>28</v>
      </c>
      <c r="O24" s="3">
        <f t="shared" si="2"/>
        <v>1</v>
      </c>
    </row>
    <row r="25" spans="1:15" x14ac:dyDescent="0.2">
      <c r="A25" s="2">
        <v>43767</v>
      </c>
      <c r="B25" s="3">
        <v>22625</v>
      </c>
      <c r="C25" s="3">
        <v>22640</v>
      </c>
      <c r="D25" s="3">
        <v>22695</v>
      </c>
      <c r="E25" s="3">
        <v>22560</v>
      </c>
      <c r="F25" s="3">
        <v>14310</v>
      </c>
      <c r="G25" s="7">
        <f t="shared" si="3"/>
        <v>0</v>
      </c>
      <c r="H25" s="5">
        <f t="shared" si="4"/>
        <v>-1.1037527593818985E-3</v>
      </c>
      <c r="I25" s="4">
        <f t="shared" si="5"/>
        <v>5.1054384017758048E-3</v>
      </c>
      <c r="J25" s="4">
        <f t="shared" si="6"/>
        <v>-4.4043162299053072E-4</v>
      </c>
      <c r="K25" s="4">
        <f t="shared" si="7"/>
        <v>3.7819799777530591E-3</v>
      </c>
      <c r="L25" s="4">
        <f t="shared" si="8"/>
        <v>5.6219255094869993E-3</v>
      </c>
      <c r="M25" s="3">
        <f t="shared" si="0"/>
        <v>10</v>
      </c>
      <c r="N25" s="3">
        <f t="shared" si="1"/>
        <v>29</v>
      </c>
      <c r="O25" s="3">
        <f t="shared" si="2"/>
        <v>2</v>
      </c>
    </row>
    <row r="26" spans="1:15" x14ac:dyDescent="0.2">
      <c r="A26" s="2">
        <v>43768</v>
      </c>
      <c r="B26" s="3">
        <v>22595</v>
      </c>
      <c r="C26" s="3">
        <v>22700</v>
      </c>
      <c r="D26" s="3">
        <v>22740</v>
      </c>
      <c r="E26" s="3">
        <v>22400</v>
      </c>
      <c r="F26" s="3">
        <v>17490</v>
      </c>
      <c r="G26" s="7">
        <f t="shared" si="3"/>
        <v>0</v>
      </c>
      <c r="H26" s="5">
        <f t="shared" si="4"/>
        <v>-1.3259668508287293E-3</v>
      </c>
      <c r="I26" s="4">
        <f t="shared" si="5"/>
        <v>2.6501766784452299E-3</v>
      </c>
      <c r="J26" s="4">
        <f t="shared" si="6"/>
        <v>1.9828155981493722E-3</v>
      </c>
      <c r="K26" s="4">
        <f t="shared" si="7"/>
        <v>-7.0921985815602835E-3</v>
      </c>
      <c r="L26" s="4">
        <f t="shared" si="8"/>
        <v>0.22222222222222221</v>
      </c>
      <c r="M26" s="3">
        <f t="shared" si="0"/>
        <v>10</v>
      </c>
      <c r="N26" s="3">
        <f t="shared" si="1"/>
        <v>30</v>
      </c>
      <c r="O26" s="3">
        <f t="shared" si="2"/>
        <v>3</v>
      </c>
    </row>
    <row r="27" spans="1:15" x14ac:dyDescent="0.2">
      <c r="A27" s="2">
        <v>43769</v>
      </c>
      <c r="B27" s="3">
        <v>22662</v>
      </c>
      <c r="C27" s="3">
        <v>22695</v>
      </c>
      <c r="D27" s="3">
        <v>22730</v>
      </c>
      <c r="E27" s="3">
        <v>22525</v>
      </c>
      <c r="F27" s="3">
        <v>21880</v>
      </c>
      <c r="G27" s="7">
        <f t="shared" si="3"/>
        <v>1</v>
      </c>
      <c r="H27" s="5">
        <f t="shared" si="4"/>
        <v>2.9652578003983182E-3</v>
      </c>
      <c r="I27" s="4">
        <f t="shared" si="5"/>
        <v>-2.2026431718061675E-4</v>
      </c>
      <c r="J27" s="4">
        <f t="shared" si="6"/>
        <v>-4.3975373790677223E-4</v>
      </c>
      <c r="K27" s="4">
        <f t="shared" si="7"/>
        <v>5.580357142857143E-3</v>
      </c>
      <c r="L27" s="4">
        <f t="shared" si="8"/>
        <v>0.25100057175528873</v>
      </c>
      <c r="M27" s="3">
        <f t="shared" si="0"/>
        <v>10</v>
      </c>
      <c r="N27" s="3">
        <f t="shared" si="1"/>
        <v>31</v>
      </c>
      <c r="O27" s="3">
        <f t="shared" si="2"/>
        <v>4</v>
      </c>
    </row>
    <row r="28" spans="1:15" x14ac:dyDescent="0.2">
      <c r="A28" s="2">
        <v>43770</v>
      </c>
      <c r="B28" s="3">
        <v>22866</v>
      </c>
      <c r="C28" s="3">
        <v>22700</v>
      </c>
      <c r="D28" s="3">
        <v>22900</v>
      </c>
      <c r="E28" s="3">
        <v>22675</v>
      </c>
      <c r="F28" s="3">
        <v>17510</v>
      </c>
      <c r="G28" s="7">
        <f t="shared" si="3"/>
        <v>1</v>
      </c>
      <c r="H28" s="5">
        <f t="shared" si="4"/>
        <v>9.0018533227429181E-3</v>
      </c>
      <c r="I28" s="4">
        <f t="shared" si="5"/>
        <v>2.2031284423881911E-4</v>
      </c>
      <c r="J28" s="4">
        <f t="shared" si="6"/>
        <v>7.479102507699076E-3</v>
      </c>
      <c r="K28" s="4">
        <f t="shared" si="7"/>
        <v>6.6592674805771362E-3</v>
      </c>
      <c r="L28" s="4">
        <f t="shared" si="8"/>
        <v>-0.19972577696526508</v>
      </c>
      <c r="M28" s="3">
        <f t="shared" si="0"/>
        <v>11</v>
      </c>
      <c r="N28" s="3">
        <f t="shared" si="1"/>
        <v>1</v>
      </c>
      <c r="O28" s="3">
        <f t="shared" si="2"/>
        <v>5</v>
      </c>
    </row>
    <row r="29" spans="1:15" x14ac:dyDescent="0.2">
      <c r="A29" s="2">
        <v>43773</v>
      </c>
      <c r="B29" s="3">
        <v>23256</v>
      </c>
      <c r="C29" s="3">
        <v>22970</v>
      </c>
      <c r="D29" s="3">
        <v>23305</v>
      </c>
      <c r="E29" s="3">
        <v>22965</v>
      </c>
      <c r="F29" s="3">
        <v>27150</v>
      </c>
      <c r="G29" s="7">
        <f t="shared" si="3"/>
        <v>1</v>
      </c>
      <c r="H29" s="5">
        <f t="shared" si="4"/>
        <v>1.705589084229861E-2</v>
      </c>
      <c r="I29" s="4">
        <f t="shared" si="5"/>
        <v>1.1894273127753305E-2</v>
      </c>
      <c r="J29" s="4">
        <f t="shared" si="6"/>
        <v>1.7685589519650654E-2</v>
      </c>
      <c r="K29" s="4">
        <f t="shared" si="7"/>
        <v>1.278941565600882E-2</v>
      </c>
      <c r="L29" s="4">
        <f t="shared" si="8"/>
        <v>0.55054254711593376</v>
      </c>
      <c r="M29" s="3">
        <f t="shared" si="0"/>
        <v>11</v>
      </c>
      <c r="N29" s="3">
        <f t="shared" si="1"/>
        <v>4</v>
      </c>
      <c r="O29" s="3">
        <f t="shared" si="2"/>
        <v>1</v>
      </c>
    </row>
    <row r="30" spans="1:15" x14ac:dyDescent="0.2">
      <c r="A30" s="2">
        <v>43774</v>
      </c>
      <c r="B30" s="3">
        <v>23315</v>
      </c>
      <c r="C30" s="3">
        <v>23265</v>
      </c>
      <c r="D30" s="3">
        <v>23385</v>
      </c>
      <c r="E30" s="3">
        <v>23240</v>
      </c>
      <c r="F30" s="3">
        <v>19730</v>
      </c>
      <c r="G30" s="7">
        <f t="shared" si="3"/>
        <v>1</v>
      </c>
      <c r="H30" s="5">
        <f t="shared" si="4"/>
        <v>2.5369797041623668E-3</v>
      </c>
      <c r="I30" s="4">
        <f t="shared" si="5"/>
        <v>1.2842838484980409E-2</v>
      </c>
      <c r="J30" s="4">
        <f t="shared" si="6"/>
        <v>3.4327397554172923E-3</v>
      </c>
      <c r="K30" s="4">
        <f t="shared" si="7"/>
        <v>1.1974744175919878E-2</v>
      </c>
      <c r="L30" s="4">
        <f t="shared" si="8"/>
        <v>-0.27329650092081031</v>
      </c>
      <c r="M30" s="3">
        <f t="shared" si="0"/>
        <v>11</v>
      </c>
      <c r="N30" s="3">
        <f t="shared" si="1"/>
        <v>5</v>
      </c>
      <c r="O30" s="3">
        <f t="shared" si="2"/>
        <v>2</v>
      </c>
    </row>
    <row r="31" spans="1:15" x14ac:dyDescent="0.2">
      <c r="A31" s="2">
        <v>43775</v>
      </c>
      <c r="B31" s="3">
        <v>23309</v>
      </c>
      <c r="C31" s="3">
        <v>23320</v>
      </c>
      <c r="D31" s="3">
        <v>23365</v>
      </c>
      <c r="E31" s="3">
        <v>23255</v>
      </c>
      <c r="F31" s="3">
        <v>15020</v>
      </c>
      <c r="G31" s="7">
        <f t="shared" si="3"/>
        <v>0</v>
      </c>
      <c r="H31" s="5">
        <f t="shared" si="4"/>
        <v>-2.5734505683036672E-4</v>
      </c>
      <c r="I31" s="4">
        <f t="shared" si="5"/>
        <v>2.3640661938534278E-3</v>
      </c>
      <c r="J31" s="4">
        <f t="shared" si="6"/>
        <v>-8.5524909129784047E-4</v>
      </c>
      <c r="K31" s="4">
        <f t="shared" si="7"/>
        <v>6.4543889845094669E-4</v>
      </c>
      <c r="L31" s="4">
        <f t="shared" si="8"/>
        <v>-0.2387227572225038</v>
      </c>
      <c r="M31" s="3">
        <f t="shared" si="0"/>
        <v>11</v>
      </c>
      <c r="N31" s="3">
        <f t="shared" si="1"/>
        <v>6</v>
      </c>
      <c r="O31" s="3">
        <f t="shared" si="2"/>
        <v>3</v>
      </c>
    </row>
    <row r="32" spans="1:15" x14ac:dyDescent="0.2">
      <c r="A32" s="2">
        <v>43776</v>
      </c>
      <c r="B32" s="3">
        <v>23460</v>
      </c>
      <c r="C32" s="3">
        <v>23450</v>
      </c>
      <c r="D32" s="3">
        <v>23705</v>
      </c>
      <c r="E32" s="3">
        <v>23390</v>
      </c>
      <c r="F32" s="3">
        <v>19920</v>
      </c>
      <c r="G32" s="7">
        <f t="shared" si="3"/>
        <v>1</v>
      </c>
      <c r="H32" s="5">
        <f t="shared" si="4"/>
        <v>6.4781843922948222E-3</v>
      </c>
      <c r="I32" s="4">
        <f t="shared" si="5"/>
        <v>5.5746140651801029E-3</v>
      </c>
      <c r="J32" s="4">
        <f t="shared" si="6"/>
        <v>1.4551679863043013E-2</v>
      </c>
      <c r="K32" s="4">
        <f t="shared" si="7"/>
        <v>5.8052031821113738E-3</v>
      </c>
      <c r="L32" s="4">
        <f t="shared" si="8"/>
        <v>0.32623169107856193</v>
      </c>
      <c r="M32" s="3">
        <f t="shared" si="0"/>
        <v>11</v>
      </c>
      <c r="N32" s="3">
        <f t="shared" si="1"/>
        <v>7</v>
      </c>
      <c r="O32" s="3">
        <f t="shared" si="2"/>
        <v>4</v>
      </c>
    </row>
    <row r="33" spans="1:15" x14ac:dyDescent="0.2">
      <c r="A33" s="2">
        <v>43777</v>
      </c>
      <c r="B33" s="3">
        <v>23477</v>
      </c>
      <c r="C33" s="3">
        <v>23435</v>
      </c>
      <c r="D33" s="3">
        <v>23520</v>
      </c>
      <c r="E33" s="3">
        <v>23305</v>
      </c>
      <c r="F33" s="3">
        <v>23220</v>
      </c>
      <c r="G33" s="7">
        <f t="shared" si="3"/>
        <v>1</v>
      </c>
      <c r="H33" s="5">
        <f t="shared" si="4"/>
        <v>7.246376811594203E-4</v>
      </c>
      <c r="I33" s="4">
        <f t="shared" si="5"/>
        <v>-6.3965884861407255E-4</v>
      </c>
      <c r="J33" s="4">
        <f t="shared" si="6"/>
        <v>-7.8042607044927232E-3</v>
      </c>
      <c r="K33" s="4">
        <f t="shared" si="7"/>
        <v>-3.6340316374519027E-3</v>
      </c>
      <c r="L33" s="4">
        <f t="shared" si="8"/>
        <v>0.16566265060240964</v>
      </c>
      <c r="M33" s="3">
        <f t="shared" si="0"/>
        <v>11</v>
      </c>
      <c r="N33" s="3">
        <f t="shared" si="1"/>
        <v>8</v>
      </c>
      <c r="O33" s="3">
        <f t="shared" si="2"/>
        <v>5</v>
      </c>
    </row>
    <row r="34" spans="1:15" x14ac:dyDescent="0.2">
      <c r="A34" s="2">
        <v>43780</v>
      </c>
      <c r="B34" s="3">
        <v>23449</v>
      </c>
      <c r="C34" s="3">
        <v>23410</v>
      </c>
      <c r="D34" s="3">
        <v>23475</v>
      </c>
      <c r="E34" s="3">
        <v>23345</v>
      </c>
      <c r="F34" s="3">
        <v>14100</v>
      </c>
      <c r="G34" s="7">
        <f t="shared" si="3"/>
        <v>0</v>
      </c>
      <c r="H34" s="5">
        <f t="shared" si="4"/>
        <v>-1.1926566426715508E-3</v>
      </c>
      <c r="I34" s="4">
        <f t="shared" si="5"/>
        <v>-1.0667804565820354E-3</v>
      </c>
      <c r="J34" s="4">
        <f t="shared" si="6"/>
        <v>-1.9132653061224489E-3</v>
      </c>
      <c r="K34" s="4">
        <f t="shared" si="7"/>
        <v>1.7163698777086461E-3</v>
      </c>
      <c r="L34" s="4">
        <f t="shared" si="8"/>
        <v>-0.39276485788113696</v>
      </c>
      <c r="M34" s="3">
        <f t="shared" si="0"/>
        <v>11</v>
      </c>
      <c r="N34" s="3">
        <f t="shared" si="1"/>
        <v>11</v>
      </c>
      <c r="O34" s="3">
        <f t="shared" si="2"/>
        <v>1</v>
      </c>
    </row>
    <row r="35" spans="1:15" x14ac:dyDescent="0.2">
      <c r="A35" s="2">
        <v>43781</v>
      </c>
      <c r="B35" s="3">
        <v>23761</v>
      </c>
      <c r="C35" s="3">
        <v>23510</v>
      </c>
      <c r="D35" s="3">
        <v>23795</v>
      </c>
      <c r="E35" s="3">
        <v>23480</v>
      </c>
      <c r="F35" s="3">
        <v>25530</v>
      </c>
      <c r="G35" s="7">
        <f t="shared" si="3"/>
        <v>1</v>
      </c>
      <c r="H35" s="5">
        <f t="shared" si="4"/>
        <v>1.3305471448675849E-2</v>
      </c>
      <c r="I35" s="4">
        <f t="shared" si="5"/>
        <v>4.2716787697565147E-3</v>
      </c>
      <c r="J35" s="4">
        <f t="shared" si="6"/>
        <v>1.3631522896698615E-2</v>
      </c>
      <c r="K35" s="4">
        <f t="shared" si="7"/>
        <v>5.7828228742771472E-3</v>
      </c>
      <c r="L35" s="4">
        <f t="shared" si="8"/>
        <v>0.81063829787234043</v>
      </c>
      <c r="M35" s="3">
        <f t="shared" si="0"/>
        <v>11</v>
      </c>
      <c r="N35" s="3">
        <f t="shared" si="1"/>
        <v>12</v>
      </c>
      <c r="O35" s="3">
        <f t="shared" si="2"/>
        <v>2</v>
      </c>
    </row>
    <row r="36" spans="1:15" x14ac:dyDescent="0.2">
      <c r="A36" s="2">
        <v>43782</v>
      </c>
      <c r="B36" s="3">
        <v>23542</v>
      </c>
      <c r="C36" s="3">
        <v>23665</v>
      </c>
      <c r="D36" s="3">
        <v>23695</v>
      </c>
      <c r="E36" s="3">
        <v>23395</v>
      </c>
      <c r="F36" s="3">
        <v>20710</v>
      </c>
      <c r="G36" s="7">
        <f t="shared" si="3"/>
        <v>0</v>
      </c>
      <c r="H36" s="5">
        <f t="shared" si="4"/>
        <v>-9.2167838053953954E-3</v>
      </c>
      <c r="I36" s="4">
        <f t="shared" si="5"/>
        <v>6.5929391748192259E-3</v>
      </c>
      <c r="J36" s="4">
        <f t="shared" si="6"/>
        <v>-4.202563563773902E-3</v>
      </c>
      <c r="K36" s="4">
        <f t="shared" si="7"/>
        <v>-3.6201022146507668E-3</v>
      </c>
      <c r="L36" s="4">
        <f t="shared" si="8"/>
        <v>-0.18879749314531924</v>
      </c>
      <c r="M36" s="3">
        <f t="shared" si="0"/>
        <v>11</v>
      </c>
      <c r="N36" s="3">
        <f t="shared" si="1"/>
        <v>13</v>
      </c>
      <c r="O36" s="3">
        <f t="shared" si="2"/>
        <v>3</v>
      </c>
    </row>
    <row r="37" spans="1:15" x14ac:dyDescent="0.2">
      <c r="A37" s="2">
        <v>43783</v>
      </c>
      <c r="B37" s="3">
        <v>23447</v>
      </c>
      <c r="C37" s="3">
        <v>23525</v>
      </c>
      <c r="D37" s="3">
        <v>23605</v>
      </c>
      <c r="E37" s="3">
        <v>23390</v>
      </c>
      <c r="F37" s="3">
        <v>17520</v>
      </c>
      <c r="G37" s="7">
        <f t="shared" si="3"/>
        <v>0</v>
      </c>
      <c r="H37" s="5">
        <f t="shared" si="4"/>
        <v>-4.0353410925155044E-3</v>
      </c>
      <c r="I37" s="4">
        <f t="shared" si="5"/>
        <v>-5.9159095710965559E-3</v>
      </c>
      <c r="J37" s="4">
        <f t="shared" si="6"/>
        <v>-3.7982696771470775E-3</v>
      </c>
      <c r="K37" s="4">
        <f t="shared" si="7"/>
        <v>-2.1372088053002778E-4</v>
      </c>
      <c r="L37" s="4">
        <f t="shared" si="8"/>
        <v>-0.15403186866248189</v>
      </c>
      <c r="M37" s="3">
        <f t="shared" si="0"/>
        <v>11</v>
      </c>
      <c r="N37" s="3">
        <f t="shared" si="1"/>
        <v>14</v>
      </c>
      <c r="O37" s="3">
        <f t="shared" si="2"/>
        <v>4</v>
      </c>
    </row>
    <row r="38" spans="1:15" x14ac:dyDescent="0.2">
      <c r="A38" s="2">
        <v>43784</v>
      </c>
      <c r="B38" s="3">
        <v>23553</v>
      </c>
      <c r="C38" s="3">
        <v>23560</v>
      </c>
      <c r="D38" s="3">
        <v>23595</v>
      </c>
      <c r="E38" s="3">
        <v>23425</v>
      </c>
      <c r="F38" s="3">
        <v>15790</v>
      </c>
      <c r="G38" s="7">
        <f t="shared" si="3"/>
        <v>1</v>
      </c>
      <c r="H38" s="5">
        <f t="shared" si="4"/>
        <v>4.5208342218620717E-3</v>
      </c>
      <c r="I38" s="4">
        <f t="shared" si="5"/>
        <v>1.487778958554729E-3</v>
      </c>
      <c r="J38" s="4">
        <f t="shared" si="6"/>
        <v>-4.2363905952128787E-4</v>
      </c>
      <c r="K38" s="4">
        <f t="shared" si="7"/>
        <v>1.4963659683625481E-3</v>
      </c>
      <c r="L38" s="4">
        <f t="shared" si="8"/>
        <v>-9.8744292237442924E-2</v>
      </c>
      <c r="M38" s="3">
        <f t="shared" si="0"/>
        <v>11</v>
      </c>
      <c r="N38" s="3">
        <f t="shared" si="1"/>
        <v>15</v>
      </c>
      <c r="O38" s="3">
        <f t="shared" si="2"/>
        <v>5</v>
      </c>
    </row>
    <row r="39" spans="1:15" x14ac:dyDescent="0.2">
      <c r="A39" s="2">
        <v>43787</v>
      </c>
      <c r="B39" s="3">
        <v>23433</v>
      </c>
      <c r="C39" s="3">
        <v>23580</v>
      </c>
      <c r="D39" s="3">
        <v>23615</v>
      </c>
      <c r="E39" s="3">
        <v>23340</v>
      </c>
      <c r="F39" s="3">
        <v>17730</v>
      </c>
      <c r="G39" s="7">
        <f t="shared" si="3"/>
        <v>0</v>
      </c>
      <c r="H39" s="5">
        <f t="shared" si="4"/>
        <v>-5.0948923703986754E-3</v>
      </c>
      <c r="I39" s="4">
        <f t="shared" si="5"/>
        <v>8.4889643463497452E-4</v>
      </c>
      <c r="J39" s="4">
        <f t="shared" si="6"/>
        <v>8.4763721127357496E-4</v>
      </c>
      <c r="K39" s="4">
        <f t="shared" si="7"/>
        <v>-3.6286019210245465E-3</v>
      </c>
      <c r="L39" s="4">
        <f t="shared" si="8"/>
        <v>0.12286257124762508</v>
      </c>
      <c r="M39" s="3">
        <f t="shared" si="0"/>
        <v>11</v>
      </c>
      <c r="N39" s="3">
        <f t="shared" si="1"/>
        <v>18</v>
      </c>
      <c r="O39" s="3">
        <f t="shared" si="2"/>
        <v>1</v>
      </c>
    </row>
    <row r="40" spans="1:15" x14ac:dyDescent="0.2">
      <c r="A40" s="2">
        <v>43788</v>
      </c>
      <c r="B40" s="3">
        <v>23328</v>
      </c>
      <c r="C40" s="3">
        <v>23500</v>
      </c>
      <c r="D40" s="3">
        <v>23665</v>
      </c>
      <c r="E40" s="3">
        <v>23295</v>
      </c>
      <c r="F40" s="3">
        <v>24070</v>
      </c>
      <c r="G40" s="7">
        <f t="shared" si="3"/>
        <v>0</v>
      </c>
      <c r="H40" s="5">
        <f t="shared" si="4"/>
        <v>-4.4808603251824354E-3</v>
      </c>
      <c r="I40" s="4">
        <f t="shared" si="5"/>
        <v>-3.3927056827820186E-3</v>
      </c>
      <c r="J40" s="4">
        <f t="shared" si="6"/>
        <v>2.1172983273343212E-3</v>
      </c>
      <c r="K40" s="4">
        <f t="shared" si="7"/>
        <v>-1.9280205655526992E-3</v>
      </c>
      <c r="L40" s="4">
        <f t="shared" si="8"/>
        <v>0.35758601240834742</v>
      </c>
      <c r="M40" s="3">
        <f t="shared" si="0"/>
        <v>11</v>
      </c>
      <c r="N40" s="3">
        <f t="shared" si="1"/>
        <v>19</v>
      </c>
      <c r="O40" s="3">
        <f t="shared" si="2"/>
        <v>2</v>
      </c>
    </row>
    <row r="41" spans="1:15" x14ac:dyDescent="0.2">
      <c r="A41" s="2">
        <v>43789</v>
      </c>
      <c r="B41" s="3">
        <v>23360</v>
      </c>
      <c r="C41" s="3">
        <v>23235</v>
      </c>
      <c r="D41" s="3">
        <v>23390</v>
      </c>
      <c r="E41" s="3">
        <v>23145</v>
      </c>
      <c r="F41" s="3">
        <v>21140</v>
      </c>
      <c r="G41" s="7">
        <f t="shared" si="3"/>
        <v>1</v>
      </c>
      <c r="H41" s="5">
        <f t="shared" si="4"/>
        <v>1.3717421124828531E-3</v>
      </c>
      <c r="I41" s="4">
        <f t="shared" si="5"/>
        <v>-1.127659574468085E-2</v>
      </c>
      <c r="J41" s="4">
        <f t="shared" si="6"/>
        <v>-1.1620536657511091E-2</v>
      </c>
      <c r="K41" s="4">
        <f t="shared" si="7"/>
        <v>-6.4391500321957498E-3</v>
      </c>
      <c r="L41" s="4">
        <f t="shared" si="8"/>
        <v>-0.12172829248026588</v>
      </c>
      <c r="M41" s="3">
        <f t="shared" si="0"/>
        <v>11</v>
      </c>
      <c r="N41" s="3">
        <f t="shared" si="1"/>
        <v>20</v>
      </c>
      <c r="O41" s="3">
        <f t="shared" si="2"/>
        <v>3</v>
      </c>
    </row>
    <row r="42" spans="1:15" x14ac:dyDescent="0.2">
      <c r="A42" s="2">
        <v>43790</v>
      </c>
      <c r="B42" s="3">
        <v>23293</v>
      </c>
      <c r="C42" s="3">
        <v>23210</v>
      </c>
      <c r="D42" s="3">
        <v>23375</v>
      </c>
      <c r="E42" s="3">
        <v>23100</v>
      </c>
      <c r="F42" s="3">
        <v>24650</v>
      </c>
      <c r="G42" s="7">
        <f t="shared" si="3"/>
        <v>0</v>
      </c>
      <c r="H42" s="5">
        <f t="shared" si="4"/>
        <v>-2.8681506849315068E-3</v>
      </c>
      <c r="I42" s="4">
        <f t="shared" si="5"/>
        <v>-1.0759629868732515E-3</v>
      </c>
      <c r="J42" s="4">
        <f t="shared" si="6"/>
        <v>-6.4129970072680635E-4</v>
      </c>
      <c r="K42" s="4">
        <f t="shared" si="7"/>
        <v>-1.9442644199611147E-3</v>
      </c>
      <c r="L42" s="4">
        <f t="shared" si="8"/>
        <v>0.16603595080416272</v>
      </c>
      <c r="M42" s="3">
        <f t="shared" si="0"/>
        <v>11</v>
      </c>
      <c r="N42" s="3">
        <f t="shared" si="1"/>
        <v>21</v>
      </c>
      <c r="O42" s="3">
        <f t="shared" si="2"/>
        <v>4</v>
      </c>
    </row>
    <row r="43" spans="1:15" x14ac:dyDescent="0.2">
      <c r="A43" s="2">
        <v>43791</v>
      </c>
      <c r="B43" s="3">
        <v>23278</v>
      </c>
      <c r="C43" s="3">
        <v>23320</v>
      </c>
      <c r="D43" s="3">
        <v>23465</v>
      </c>
      <c r="E43" s="3">
        <v>23250</v>
      </c>
      <c r="F43" s="3">
        <v>19910</v>
      </c>
      <c r="G43" s="7">
        <f t="shared" si="3"/>
        <v>0</v>
      </c>
      <c r="H43" s="5">
        <f t="shared" si="4"/>
        <v>-6.4397029150388527E-4</v>
      </c>
      <c r="I43" s="4">
        <f t="shared" si="5"/>
        <v>4.7393364928909956E-3</v>
      </c>
      <c r="J43" s="4">
        <f t="shared" si="6"/>
        <v>3.8502673796791446E-3</v>
      </c>
      <c r="K43" s="4">
        <f t="shared" si="7"/>
        <v>6.4935064935064939E-3</v>
      </c>
      <c r="L43" s="4">
        <f t="shared" si="8"/>
        <v>-0.1922920892494929</v>
      </c>
      <c r="M43" s="3">
        <f t="shared" si="0"/>
        <v>11</v>
      </c>
      <c r="N43" s="3">
        <f t="shared" si="1"/>
        <v>22</v>
      </c>
      <c r="O43" s="3">
        <f t="shared" si="2"/>
        <v>5</v>
      </c>
    </row>
    <row r="44" spans="1:15" x14ac:dyDescent="0.2">
      <c r="A44" s="2">
        <v>43794</v>
      </c>
      <c r="B44" s="3">
        <v>23454</v>
      </c>
      <c r="C44" s="3">
        <v>23405</v>
      </c>
      <c r="D44" s="3">
        <v>23495</v>
      </c>
      <c r="E44" s="3">
        <v>23375</v>
      </c>
      <c r="F44" s="3">
        <v>11970</v>
      </c>
      <c r="G44" s="7">
        <f t="shared" si="3"/>
        <v>1</v>
      </c>
      <c r="H44" s="5">
        <f t="shared" si="4"/>
        <v>7.5607870091932297E-3</v>
      </c>
      <c r="I44" s="4">
        <f t="shared" si="5"/>
        <v>3.6449399656946829E-3</v>
      </c>
      <c r="J44" s="4">
        <f t="shared" si="6"/>
        <v>1.2784998934583422E-3</v>
      </c>
      <c r="K44" s="4">
        <f t="shared" si="7"/>
        <v>5.3763440860215058E-3</v>
      </c>
      <c r="L44" s="4">
        <f t="shared" si="8"/>
        <v>-0.39879457559015569</v>
      </c>
      <c r="M44" s="3">
        <f t="shared" si="0"/>
        <v>11</v>
      </c>
      <c r="N44" s="3">
        <f t="shared" si="1"/>
        <v>25</v>
      </c>
      <c r="O44" s="3">
        <f t="shared" si="2"/>
        <v>1</v>
      </c>
    </row>
    <row r="45" spans="1:15" x14ac:dyDescent="0.2">
      <c r="A45" s="2">
        <v>43795</v>
      </c>
      <c r="B45" s="3">
        <v>23542</v>
      </c>
      <c r="C45" s="3">
        <v>23485</v>
      </c>
      <c r="D45" s="3">
        <v>23570</v>
      </c>
      <c r="E45" s="3">
        <v>23355</v>
      </c>
      <c r="F45" s="3">
        <v>17700</v>
      </c>
      <c r="G45" s="7">
        <f t="shared" si="3"/>
        <v>1</v>
      </c>
      <c r="H45" s="5">
        <f t="shared" si="4"/>
        <v>3.7520252408970753E-3</v>
      </c>
      <c r="I45" s="4">
        <f t="shared" si="5"/>
        <v>3.4180730613116855E-3</v>
      </c>
      <c r="J45" s="4">
        <f t="shared" si="6"/>
        <v>3.1921685464992551E-3</v>
      </c>
      <c r="K45" s="4">
        <f t="shared" si="7"/>
        <v>-8.5561497326203204E-4</v>
      </c>
      <c r="L45" s="4">
        <f t="shared" si="8"/>
        <v>0.47869674185463656</v>
      </c>
      <c r="M45" s="3">
        <f t="shared" si="0"/>
        <v>11</v>
      </c>
      <c r="N45" s="3">
        <f t="shared" si="1"/>
        <v>26</v>
      </c>
      <c r="O45" s="3">
        <f t="shared" si="2"/>
        <v>2</v>
      </c>
    </row>
    <row r="46" spans="1:15" x14ac:dyDescent="0.2">
      <c r="A46" s="2">
        <v>43796</v>
      </c>
      <c r="B46" s="3">
        <v>23464</v>
      </c>
      <c r="C46" s="3">
        <v>23610</v>
      </c>
      <c r="D46" s="3">
        <v>23640</v>
      </c>
      <c r="E46" s="3">
        <v>23445</v>
      </c>
      <c r="F46" s="3">
        <v>16860</v>
      </c>
      <c r="G46" s="7">
        <f t="shared" si="3"/>
        <v>0</v>
      </c>
      <c r="H46" s="5">
        <f t="shared" si="4"/>
        <v>-3.3132274233285191E-3</v>
      </c>
      <c r="I46" s="4">
        <f t="shared" si="5"/>
        <v>5.3225463061528635E-3</v>
      </c>
      <c r="J46" s="4">
        <f t="shared" si="6"/>
        <v>2.9698769622401359E-3</v>
      </c>
      <c r="K46" s="4">
        <f t="shared" si="7"/>
        <v>3.8535645472061657E-3</v>
      </c>
      <c r="L46" s="4">
        <f t="shared" si="8"/>
        <v>-4.7457627118644069E-2</v>
      </c>
      <c r="M46" s="3">
        <f t="shared" si="0"/>
        <v>11</v>
      </c>
      <c r="N46" s="3">
        <f t="shared" si="1"/>
        <v>27</v>
      </c>
      <c r="O46" s="3">
        <f t="shared" si="2"/>
        <v>3</v>
      </c>
    </row>
    <row r="47" spans="1:15" x14ac:dyDescent="0.2">
      <c r="A47" s="2">
        <v>43797</v>
      </c>
      <c r="B47" s="3">
        <v>23329</v>
      </c>
      <c r="C47" s="3">
        <v>23415</v>
      </c>
      <c r="D47" s="3">
        <v>23480</v>
      </c>
      <c r="E47" s="3">
        <v>23265</v>
      </c>
      <c r="F47" s="3">
        <v>12050</v>
      </c>
      <c r="G47" s="7">
        <f t="shared" si="3"/>
        <v>0</v>
      </c>
      <c r="H47" s="5">
        <f t="shared" si="4"/>
        <v>-5.7534947153085577E-3</v>
      </c>
      <c r="I47" s="4">
        <f t="shared" si="5"/>
        <v>-8.2592121982210925E-3</v>
      </c>
      <c r="J47" s="4">
        <f t="shared" si="6"/>
        <v>-6.7681895093062603E-3</v>
      </c>
      <c r="K47" s="4">
        <f t="shared" si="7"/>
        <v>-7.677543186180422E-3</v>
      </c>
      <c r="L47" s="4">
        <f t="shared" si="8"/>
        <v>-0.28529062870699884</v>
      </c>
      <c r="M47" s="3">
        <f t="shared" si="0"/>
        <v>11</v>
      </c>
      <c r="N47" s="3">
        <f t="shared" si="1"/>
        <v>28</v>
      </c>
      <c r="O47" s="3">
        <f t="shared" si="2"/>
        <v>4</v>
      </c>
    </row>
    <row r="48" spans="1:15" x14ac:dyDescent="0.2">
      <c r="A48" s="2">
        <v>43798</v>
      </c>
      <c r="B48" s="3">
        <v>23273</v>
      </c>
      <c r="C48" s="3">
        <v>23260</v>
      </c>
      <c r="D48" s="3">
        <v>23425</v>
      </c>
      <c r="E48" s="3">
        <v>23200</v>
      </c>
      <c r="F48" s="3">
        <v>15580</v>
      </c>
      <c r="G48" s="7">
        <f t="shared" si="3"/>
        <v>0</v>
      </c>
      <c r="H48" s="5">
        <f t="shared" si="4"/>
        <v>-2.4004457970765998E-3</v>
      </c>
      <c r="I48" s="4">
        <f t="shared" si="5"/>
        <v>-6.6196882340380098E-3</v>
      </c>
      <c r="J48" s="4">
        <f t="shared" si="6"/>
        <v>-2.3424190800681432E-3</v>
      </c>
      <c r="K48" s="4">
        <f t="shared" si="7"/>
        <v>-2.7938964109176876E-3</v>
      </c>
      <c r="L48" s="4">
        <f t="shared" si="8"/>
        <v>0.29294605809128632</v>
      </c>
      <c r="M48" s="3">
        <f t="shared" si="0"/>
        <v>11</v>
      </c>
      <c r="N48" s="3">
        <f t="shared" si="1"/>
        <v>29</v>
      </c>
      <c r="O48" s="3">
        <f t="shared" si="2"/>
        <v>5</v>
      </c>
    </row>
    <row r="49" spans="1:15" x14ac:dyDescent="0.2">
      <c r="A49" s="2">
        <v>43801</v>
      </c>
      <c r="B49" s="3">
        <v>22719</v>
      </c>
      <c r="C49" s="3">
        <v>23290</v>
      </c>
      <c r="D49" s="3">
        <v>23405</v>
      </c>
      <c r="E49" s="3">
        <v>22685</v>
      </c>
      <c r="F49" s="3">
        <v>37540</v>
      </c>
      <c r="G49" s="7">
        <f t="shared" si="3"/>
        <v>0</v>
      </c>
      <c r="H49" s="5">
        <f t="shared" si="4"/>
        <v>-2.3804408542087398E-2</v>
      </c>
      <c r="I49" s="4">
        <f t="shared" si="5"/>
        <v>1.2897678417884782E-3</v>
      </c>
      <c r="J49" s="4">
        <f t="shared" si="6"/>
        <v>-8.5378868729989329E-4</v>
      </c>
      <c r="K49" s="4">
        <f t="shared" si="7"/>
        <v>-2.2198275862068965E-2</v>
      </c>
      <c r="L49" s="4">
        <f t="shared" si="8"/>
        <v>1.4094993581514763</v>
      </c>
      <c r="M49" s="3">
        <f t="shared" si="0"/>
        <v>12</v>
      </c>
      <c r="N49" s="3">
        <f t="shared" si="1"/>
        <v>2</v>
      </c>
      <c r="O49" s="3">
        <f t="shared" si="2"/>
        <v>1</v>
      </c>
    </row>
    <row r="50" spans="1:15" x14ac:dyDescent="0.2">
      <c r="A50" s="2">
        <v>43802</v>
      </c>
      <c r="B50" s="3">
        <v>22725</v>
      </c>
      <c r="C50" s="3">
        <v>22820</v>
      </c>
      <c r="D50" s="3">
        <v>22985</v>
      </c>
      <c r="E50" s="3">
        <v>22600</v>
      </c>
      <c r="F50" s="3">
        <v>31830</v>
      </c>
      <c r="G50" s="7">
        <f t="shared" si="3"/>
        <v>1</v>
      </c>
      <c r="H50" s="5">
        <f t="shared" si="4"/>
        <v>2.6409613099168095E-4</v>
      </c>
      <c r="I50" s="4">
        <f t="shared" si="5"/>
        <v>-2.0180334907685702E-2</v>
      </c>
      <c r="J50" s="4">
        <f t="shared" si="6"/>
        <v>-1.7944883571886349E-2</v>
      </c>
      <c r="K50" s="4">
        <f t="shared" si="7"/>
        <v>-3.7469693630152083E-3</v>
      </c>
      <c r="L50" s="4">
        <f t="shared" si="8"/>
        <v>-0.15210442194992008</v>
      </c>
      <c r="M50" s="3">
        <f t="shared" si="0"/>
        <v>12</v>
      </c>
      <c r="N50" s="3">
        <f t="shared" si="1"/>
        <v>3</v>
      </c>
      <c r="O50" s="3">
        <f t="shared" si="2"/>
        <v>2</v>
      </c>
    </row>
    <row r="51" spans="1:15" x14ac:dyDescent="0.2">
      <c r="A51" s="2">
        <v>43803</v>
      </c>
      <c r="B51" s="3">
        <v>23026</v>
      </c>
      <c r="C51" s="3">
        <v>22740</v>
      </c>
      <c r="D51" s="3">
        <v>23055</v>
      </c>
      <c r="E51" s="3">
        <v>22735</v>
      </c>
      <c r="F51" s="3">
        <v>20690</v>
      </c>
      <c r="G51" s="7">
        <f t="shared" si="3"/>
        <v>1</v>
      </c>
      <c r="H51" s="5">
        <f t="shared" si="4"/>
        <v>1.3245324532453246E-2</v>
      </c>
      <c r="I51" s="4">
        <f t="shared" si="5"/>
        <v>-3.5056967572304996E-3</v>
      </c>
      <c r="J51" s="4">
        <f t="shared" si="6"/>
        <v>3.0454644333260824E-3</v>
      </c>
      <c r="K51" s="4">
        <f t="shared" si="7"/>
        <v>5.9734513274336282E-3</v>
      </c>
      <c r="L51" s="4">
        <f t="shared" si="8"/>
        <v>-0.3499842915488533</v>
      </c>
      <c r="M51" s="3">
        <f t="shared" si="0"/>
        <v>12</v>
      </c>
      <c r="N51" s="3">
        <f t="shared" si="1"/>
        <v>4</v>
      </c>
      <c r="O51" s="3">
        <f t="shared" si="2"/>
        <v>3</v>
      </c>
    </row>
    <row r="52" spans="1:15" x14ac:dyDescent="0.2">
      <c r="A52" s="2">
        <v>43804</v>
      </c>
      <c r="B52" s="3">
        <v>22965</v>
      </c>
      <c r="C52" s="3">
        <v>23055</v>
      </c>
      <c r="D52" s="3">
        <v>23185</v>
      </c>
      <c r="E52" s="3">
        <v>22940</v>
      </c>
      <c r="F52" s="3">
        <v>16910</v>
      </c>
      <c r="G52" s="7">
        <f t="shared" si="3"/>
        <v>0</v>
      </c>
      <c r="H52" s="5">
        <f t="shared" si="4"/>
        <v>-2.6491791887431598E-3</v>
      </c>
      <c r="I52" s="4">
        <f t="shared" si="5"/>
        <v>1.3852242744063324E-2</v>
      </c>
      <c r="J52" s="4">
        <f t="shared" si="6"/>
        <v>5.6386900889178054E-3</v>
      </c>
      <c r="K52" s="4">
        <f t="shared" si="7"/>
        <v>9.0169342423575983E-3</v>
      </c>
      <c r="L52" s="4">
        <f t="shared" si="8"/>
        <v>-0.18269695505074915</v>
      </c>
      <c r="M52" s="3">
        <f t="shared" si="0"/>
        <v>12</v>
      </c>
      <c r="N52" s="3">
        <f t="shared" si="1"/>
        <v>5</v>
      </c>
      <c r="O52" s="3">
        <f t="shared" si="2"/>
        <v>4</v>
      </c>
    </row>
    <row r="53" spans="1:15" x14ac:dyDescent="0.2">
      <c r="A53" s="2">
        <v>43805</v>
      </c>
      <c r="B53" s="3">
        <v>23178</v>
      </c>
      <c r="C53" s="3">
        <v>23055</v>
      </c>
      <c r="D53" s="3">
        <v>23220</v>
      </c>
      <c r="E53" s="3">
        <v>22920</v>
      </c>
      <c r="F53" s="3">
        <v>21410</v>
      </c>
      <c r="G53" s="7">
        <f t="shared" si="3"/>
        <v>1</v>
      </c>
      <c r="H53" s="5">
        <f t="shared" si="4"/>
        <v>9.274983670803396E-3</v>
      </c>
      <c r="I53" s="4">
        <f t="shared" si="5"/>
        <v>0</v>
      </c>
      <c r="J53" s="4">
        <f t="shared" si="6"/>
        <v>1.5095967220185465E-3</v>
      </c>
      <c r="K53" s="4">
        <f t="shared" si="7"/>
        <v>-8.7183958151700091E-4</v>
      </c>
      <c r="L53" s="4">
        <f t="shared" si="8"/>
        <v>0.26611472501478417</v>
      </c>
      <c r="M53" s="3">
        <f t="shared" si="0"/>
        <v>12</v>
      </c>
      <c r="N53" s="3">
        <f t="shared" si="1"/>
        <v>6</v>
      </c>
      <c r="O53" s="3">
        <f t="shared" si="2"/>
        <v>5</v>
      </c>
    </row>
    <row r="54" spans="1:15" x14ac:dyDescent="0.2">
      <c r="A54" s="2">
        <v>43808</v>
      </c>
      <c r="B54" s="3">
        <v>22941</v>
      </c>
      <c r="C54" s="3">
        <v>23200</v>
      </c>
      <c r="D54" s="3">
        <v>23225</v>
      </c>
      <c r="E54" s="3">
        <v>22845</v>
      </c>
      <c r="F54" s="3">
        <v>23730</v>
      </c>
      <c r="G54" s="7">
        <f t="shared" si="3"/>
        <v>0</v>
      </c>
      <c r="H54" s="5">
        <f t="shared" si="4"/>
        <v>-1.0225213564587108E-2</v>
      </c>
      <c r="I54" s="4">
        <f t="shared" si="5"/>
        <v>6.2893081761006293E-3</v>
      </c>
      <c r="J54" s="4">
        <f t="shared" si="6"/>
        <v>2.1533161068044789E-4</v>
      </c>
      <c r="K54" s="4">
        <f t="shared" si="7"/>
        <v>-3.2722513089005235E-3</v>
      </c>
      <c r="L54" s="4">
        <f t="shared" si="8"/>
        <v>0.1083605791686128</v>
      </c>
      <c r="M54" s="3">
        <f t="shared" si="0"/>
        <v>12</v>
      </c>
      <c r="N54" s="3">
        <f t="shared" si="1"/>
        <v>9</v>
      </c>
      <c r="O54" s="3">
        <f t="shared" si="2"/>
        <v>1</v>
      </c>
    </row>
    <row r="55" spans="1:15" x14ac:dyDescent="0.2">
      <c r="A55" s="2">
        <v>43809</v>
      </c>
      <c r="B55" s="3">
        <v>23115</v>
      </c>
      <c r="C55" s="3">
        <v>22930</v>
      </c>
      <c r="D55" s="3">
        <v>23155</v>
      </c>
      <c r="E55" s="3">
        <v>22780</v>
      </c>
      <c r="F55" s="3">
        <v>26560</v>
      </c>
      <c r="G55" s="7">
        <f t="shared" si="3"/>
        <v>1</v>
      </c>
      <c r="H55" s="5">
        <f t="shared" si="4"/>
        <v>7.5846737282594485E-3</v>
      </c>
      <c r="I55" s="4">
        <f t="shared" si="5"/>
        <v>-1.1637931034482759E-2</v>
      </c>
      <c r="J55" s="4">
        <f t="shared" si="6"/>
        <v>-3.0139935414424113E-3</v>
      </c>
      <c r="K55" s="4">
        <f t="shared" si="7"/>
        <v>-2.8452615451958854E-3</v>
      </c>
      <c r="L55" s="4">
        <f t="shared" si="8"/>
        <v>0.11925832279814581</v>
      </c>
      <c r="M55" s="3">
        <f t="shared" si="0"/>
        <v>12</v>
      </c>
      <c r="N55" s="3">
        <f t="shared" si="1"/>
        <v>10</v>
      </c>
      <c r="O55" s="3">
        <f t="shared" si="2"/>
        <v>2</v>
      </c>
    </row>
    <row r="56" spans="1:15" x14ac:dyDescent="0.2">
      <c r="A56" s="2">
        <v>43810</v>
      </c>
      <c r="B56" s="3">
        <v>23175</v>
      </c>
      <c r="C56" s="3">
        <v>23095</v>
      </c>
      <c r="D56" s="3">
        <v>23205</v>
      </c>
      <c r="E56" s="3">
        <v>23025</v>
      </c>
      <c r="F56" s="3">
        <v>16810</v>
      </c>
      <c r="G56" s="7">
        <f t="shared" si="3"/>
        <v>1</v>
      </c>
      <c r="H56" s="5">
        <f t="shared" si="4"/>
        <v>2.5957170668397143E-3</v>
      </c>
      <c r="I56" s="4">
        <f t="shared" si="5"/>
        <v>7.1958133449629303E-3</v>
      </c>
      <c r="J56" s="4">
        <f t="shared" si="6"/>
        <v>2.1593608291945584E-3</v>
      </c>
      <c r="K56" s="4">
        <f t="shared" si="7"/>
        <v>1.0755048287971905E-2</v>
      </c>
      <c r="L56" s="4">
        <f t="shared" si="8"/>
        <v>-0.36709337349397592</v>
      </c>
      <c r="M56" s="3">
        <f t="shared" si="0"/>
        <v>12</v>
      </c>
      <c r="N56" s="3">
        <f t="shared" si="1"/>
        <v>11</v>
      </c>
      <c r="O56" s="3">
        <f t="shared" si="2"/>
        <v>3</v>
      </c>
    </row>
    <row r="57" spans="1:15" x14ac:dyDescent="0.2">
      <c r="A57" s="2">
        <v>43811</v>
      </c>
      <c r="B57" s="3">
        <v>23402</v>
      </c>
      <c r="C57" s="3">
        <v>23230</v>
      </c>
      <c r="D57" s="3">
        <v>23490</v>
      </c>
      <c r="E57" s="3">
        <v>23150</v>
      </c>
      <c r="F57" s="3">
        <v>28190</v>
      </c>
      <c r="G57" s="7">
        <f t="shared" si="3"/>
        <v>1</v>
      </c>
      <c r="H57" s="5">
        <f t="shared" si="4"/>
        <v>9.7950377562028047E-3</v>
      </c>
      <c r="I57" s="4">
        <f t="shared" si="5"/>
        <v>5.8454210868153283E-3</v>
      </c>
      <c r="J57" s="4">
        <f t="shared" si="6"/>
        <v>1.2281835811247576E-2</v>
      </c>
      <c r="K57" s="4">
        <f t="shared" si="7"/>
        <v>5.4288816503800215E-3</v>
      </c>
      <c r="L57" s="4">
        <f t="shared" si="8"/>
        <v>0.67697798929208808</v>
      </c>
      <c r="M57" s="3">
        <f t="shared" si="0"/>
        <v>12</v>
      </c>
      <c r="N57" s="3">
        <f t="shared" si="1"/>
        <v>12</v>
      </c>
      <c r="O57" s="3">
        <f t="shared" si="2"/>
        <v>4</v>
      </c>
    </row>
    <row r="58" spans="1:15" x14ac:dyDescent="0.2">
      <c r="A58" s="2">
        <v>43812</v>
      </c>
      <c r="B58" s="3">
        <v>23322</v>
      </c>
      <c r="C58" s="3">
        <v>23690</v>
      </c>
      <c r="D58" s="3">
        <v>23850</v>
      </c>
      <c r="E58" s="3">
        <v>23265</v>
      </c>
      <c r="F58" s="3">
        <v>45960</v>
      </c>
      <c r="G58" s="7">
        <f t="shared" si="3"/>
        <v>0</v>
      </c>
      <c r="H58" s="5">
        <f t="shared" si="4"/>
        <v>-3.4185112383556962E-3</v>
      </c>
      <c r="I58" s="4">
        <f t="shared" si="5"/>
        <v>1.9801980198019802E-2</v>
      </c>
      <c r="J58" s="4">
        <f t="shared" si="6"/>
        <v>1.532567049808429E-2</v>
      </c>
      <c r="K58" s="4">
        <f t="shared" si="7"/>
        <v>4.9676025917926563E-3</v>
      </c>
      <c r="L58" s="4">
        <f t="shared" si="8"/>
        <v>0.63036537779354385</v>
      </c>
      <c r="M58" s="3">
        <f t="shared" si="0"/>
        <v>12</v>
      </c>
      <c r="N58" s="3">
        <f t="shared" si="1"/>
        <v>13</v>
      </c>
      <c r="O58" s="3">
        <f t="shared" si="2"/>
        <v>5</v>
      </c>
    </row>
    <row r="59" spans="1:15" x14ac:dyDescent="0.2">
      <c r="A59" s="2">
        <v>43815</v>
      </c>
      <c r="B59" s="3">
        <v>23530</v>
      </c>
      <c r="C59" s="3">
        <v>23450</v>
      </c>
      <c r="D59" s="3">
        <v>23550</v>
      </c>
      <c r="E59" s="3">
        <v>23385</v>
      </c>
      <c r="F59" s="3">
        <v>55870</v>
      </c>
      <c r="G59" s="7">
        <f t="shared" si="3"/>
        <v>1</v>
      </c>
      <c r="H59" s="5">
        <f t="shared" si="4"/>
        <v>8.918617614269788E-3</v>
      </c>
      <c r="I59" s="4">
        <f t="shared" si="5"/>
        <v>-1.0130856901646263E-2</v>
      </c>
      <c r="J59" s="4">
        <f t="shared" si="6"/>
        <v>-1.2578616352201259E-2</v>
      </c>
      <c r="K59" s="4">
        <f t="shared" si="7"/>
        <v>5.1579626047711154E-3</v>
      </c>
      <c r="L59" s="4">
        <f t="shared" si="8"/>
        <v>0.21562228024369018</v>
      </c>
      <c r="M59" s="3">
        <f t="shared" si="0"/>
        <v>12</v>
      </c>
      <c r="N59" s="3">
        <f t="shared" si="1"/>
        <v>16</v>
      </c>
      <c r="O59" s="3">
        <f t="shared" si="2"/>
        <v>1</v>
      </c>
    </row>
    <row r="60" spans="1:15" x14ac:dyDescent="0.2">
      <c r="A60" s="2">
        <v>43816</v>
      </c>
      <c r="B60" s="3">
        <v>23631</v>
      </c>
      <c r="C60" s="3">
        <v>23510</v>
      </c>
      <c r="D60" s="3">
        <v>23725</v>
      </c>
      <c r="E60" s="3">
        <v>23475</v>
      </c>
      <c r="F60" s="3">
        <v>60450</v>
      </c>
      <c r="G60" s="7">
        <f t="shared" si="3"/>
        <v>1</v>
      </c>
      <c r="H60" s="5">
        <f t="shared" si="4"/>
        <v>4.2923926901827451E-3</v>
      </c>
      <c r="I60" s="4">
        <f t="shared" si="5"/>
        <v>2.5586353944562902E-3</v>
      </c>
      <c r="J60" s="4">
        <f t="shared" si="6"/>
        <v>7.4309978768577496E-3</v>
      </c>
      <c r="K60" s="4">
        <f t="shared" si="7"/>
        <v>3.8486209108402822E-3</v>
      </c>
      <c r="L60" s="4">
        <f t="shared" si="8"/>
        <v>8.1976015750850187E-2</v>
      </c>
      <c r="M60" s="3">
        <f t="shared" si="0"/>
        <v>12</v>
      </c>
      <c r="N60" s="3">
        <f t="shared" si="1"/>
        <v>17</v>
      </c>
      <c r="O60" s="3">
        <f t="shared" si="2"/>
        <v>2</v>
      </c>
    </row>
    <row r="61" spans="1:15" x14ac:dyDescent="0.2">
      <c r="A61" s="2">
        <v>43817</v>
      </c>
      <c r="B61" s="3">
        <v>23653</v>
      </c>
      <c r="C61" s="3">
        <v>23620</v>
      </c>
      <c r="D61" s="3">
        <v>23740</v>
      </c>
      <c r="E61" s="3">
        <v>23615</v>
      </c>
      <c r="F61" s="3">
        <v>53690</v>
      </c>
      <c r="G61" s="7">
        <f t="shared" si="3"/>
        <v>1</v>
      </c>
      <c r="H61" s="5">
        <f t="shared" si="4"/>
        <v>9.309804917269688E-4</v>
      </c>
      <c r="I61" s="4">
        <f t="shared" si="5"/>
        <v>4.6788600595491277E-3</v>
      </c>
      <c r="J61" s="4">
        <f t="shared" si="6"/>
        <v>6.3224446786090617E-4</v>
      </c>
      <c r="K61" s="4">
        <f t="shared" si="7"/>
        <v>5.9637912673056442E-3</v>
      </c>
      <c r="L61" s="4">
        <f t="shared" si="8"/>
        <v>-0.11182795698924732</v>
      </c>
      <c r="M61" s="3">
        <f t="shared" si="0"/>
        <v>12</v>
      </c>
      <c r="N61" s="3">
        <f t="shared" si="1"/>
        <v>18</v>
      </c>
      <c r="O61" s="3">
        <f t="shared" si="2"/>
        <v>3</v>
      </c>
    </row>
    <row r="62" spans="1:15" x14ac:dyDescent="0.2">
      <c r="A62" s="2">
        <v>43818</v>
      </c>
      <c r="B62" s="3">
        <v>23686</v>
      </c>
      <c r="C62" s="3">
        <v>23635</v>
      </c>
      <c r="D62" s="3">
        <v>23715</v>
      </c>
      <c r="E62" s="3">
        <v>23580</v>
      </c>
      <c r="F62" s="3">
        <v>24760</v>
      </c>
      <c r="G62" s="7">
        <f t="shared" si="3"/>
        <v>1</v>
      </c>
      <c r="H62" s="5">
        <f t="shared" si="4"/>
        <v>1.3951718598063671E-3</v>
      </c>
      <c r="I62" s="4">
        <f t="shared" si="5"/>
        <v>6.3505503810330224E-4</v>
      </c>
      <c r="J62" s="4">
        <f t="shared" si="6"/>
        <v>-1.0530749789385003E-3</v>
      </c>
      <c r="K62" s="4">
        <f t="shared" si="7"/>
        <v>-1.4821088291340249E-3</v>
      </c>
      <c r="L62" s="4">
        <f t="shared" si="8"/>
        <v>-0.53883404730862361</v>
      </c>
      <c r="M62" s="3">
        <f t="shared" si="0"/>
        <v>12</v>
      </c>
      <c r="N62" s="3">
        <f t="shared" si="1"/>
        <v>19</v>
      </c>
      <c r="O62" s="3">
        <f t="shared" si="2"/>
        <v>4</v>
      </c>
    </row>
    <row r="63" spans="1:15" x14ac:dyDescent="0.2">
      <c r="A63" s="2">
        <v>43819</v>
      </c>
      <c r="B63" s="3">
        <v>23983</v>
      </c>
      <c r="C63" s="3">
        <v>23920</v>
      </c>
      <c r="D63" s="3">
        <v>23980</v>
      </c>
      <c r="E63" s="3">
        <v>23920</v>
      </c>
      <c r="F63" s="3">
        <v>50</v>
      </c>
      <c r="G63" s="7">
        <f t="shared" si="3"/>
        <v>1</v>
      </c>
      <c r="H63" s="5">
        <f t="shared" si="4"/>
        <v>1.2539052604914296E-2</v>
      </c>
      <c r="I63" s="4">
        <f t="shared" si="5"/>
        <v>1.2058387983922149E-2</v>
      </c>
      <c r="J63" s="4">
        <f t="shared" si="6"/>
        <v>1.1174362218005482E-2</v>
      </c>
      <c r="K63" s="4">
        <f t="shared" si="7"/>
        <v>1.441899915182358E-2</v>
      </c>
      <c r="L63" s="4">
        <f t="shared" si="8"/>
        <v>-0.99798061389337644</v>
      </c>
      <c r="M63" s="3">
        <f t="shared" si="0"/>
        <v>12</v>
      </c>
      <c r="N63" s="3">
        <f t="shared" si="1"/>
        <v>20</v>
      </c>
      <c r="O63" s="3">
        <f t="shared" si="2"/>
        <v>5</v>
      </c>
    </row>
    <row r="64" spans="1:15" x14ac:dyDescent="0.2">
      <c r="A64" s="2">
        <v>43822</v>
      </c>
      <c r="B64" s="3">
        <v>23845</v>
      </c>
      <c r="C64" s="3">
        <v>23880</v>
      </c>
      <c r="D64" s="3">
        <v>23895</v>
      </c>
      <c r="E64" s="3">
        <v>23780</v>
      </c>
      <c r="F64" s="3">
        <v>10350</v>
      </c>
      <c r="G64" s="7">
        <f t="shared" si="3"/>
        <v>0</v>
      </c>
      <c r="H64" s="5">
        <f t="shared" si="4"/>
        <v>-5.7540758036942839E-3</v>
      </c>
      <c r="I64" s="4">
        <f t="shared" si="5"/>
        <v>-1.6722408026755853E-3</v>
      </c>
      <c r="J64" s="4">
        <f t="shared" si="6"/>
        <v>-3.5446205170975814E-3</v>
      </c>
      <c r="K64" s="4">
        <f t="shared" si="7"/>
        <v>-5.8528428093645481E-3</v>
      </c>
      <c r="L64" s="4">
        <f t="shared" si="8"/>
        <v>206</v>
      </c>
      <c r="M64" s="3">
        <f t="shared" si="0"/>
        <v>12</v>
      </c>
      <c r="N64" s="3">
        <f t="shared" si="1"/>
        <v>23</v>
      </c>
      <c r="O64" s="3">
        <f t="shared" si="2"/>
        <v>1</v>
      </c>
    </row>
    <row r="65" spans="1:15" x14ac:dyDescent="0.2">
      <c r="A65" s="2">
        <v>43826</v>
      </c>
      <c r="B65" s="3">
        <v>23701</v>
      </c>
      <c r="C65" s="3">
        <v>23865</v>
      </c>
      <c r="D65" s="3">
        <v>23885</v>
      </c>
      <c r="E65" s="3">
        <v>23670</v>
      </c>
      <c r="F65" s="3">
        <v>13970</v>
      </c>
      <c r="G65" s="7">
        <f t="shared" si="3"/>
        <v>0</v>
      </c>
      <c r="H65" s="5">
        <f t="shared" si="4"/>
        <v>-6.0390018871880899E-3</v>
      </c>
      <c r="I65" s="4">
        <f t="shared" si="5"/>
        <v>-6.2814070351758795E-4</v>
      </c>
      <c r="J65" s="4">
        <f t="shared" si="6"/>
        <v>-4.1849759363883659E-4</v>
      </c>
      <c r="K65" s="4">
        <f t="shared" si="7"/>
        <v>-4.6257359125315388E-3</v>
      </c>
      <c r="L65" s="4">
        <f t="shared" si="8"/>
        <v>0.3497584541062802</v>
      </c>
      <c r="M65" s="3">
        <f t="shared" si="0"/>
        <v>12</v>
      </c>
      <c r="N65" s="3">
        <f t="shared" si="1"/>
        <v>27</v>
      </c>
      <c r="O65" s="3">
        <f t="shared" si="2"/>
        <v>5</v>
      </c>
    </row>
    <row r="66" spans="1:15" x14ac:dyDescent="0.2">
      <c r="A66" s="2">
        <v>43829</v>
      </c>
      <c r="B66" s="3">
        <v>23410</v>
      </c>
      <c r="C66" s="3">
        <v>23655</v>
      </c>
      <c r="D66" s="3">
        <v>23665</v>
      </c>
      <c r="E66" s="3">
        <v>23400</v>
      </c>
      <c r="F66" s="3">
        <v>16830</v>
      </c>
      <c r="G66" s="7">
        <f t="shared" si="3"/>
        <v>0</v>
      </c>
      <c r="H66" s="5">
        <f t="shared" si="4"/>
        <v>-1.2277962955149572E-2</v>
      </c>
      <c r="I66" s="4">
        <f t="shared" si="5"/>
        <v>-8.7994971715901951E-3</v>
      </c>
      <c r="J66" s="4">
        <f t="shared" si="6"/>
        <v>-9.2108017584257903E-3</v>
      </c>
      <c r="K66" s="4">
        <f t="shared" si="7"/>
        <v>-1.1406844106463879E-2</v>
      </c>
      <c r="L66" s="4">
        <f t="shared" si="8"/>
        <v>0.20472440944881889</v>
      </c>
      <c r="M66" s="3">
        <f t="shared" ref="M66:M129" si="9">MONTH(A66)</f>
        <v>12</v>
      </c>
      <c r="N66" s="3">
        <f t="shared" ref="N66:N129" si="10">DAY(A66)</f>
        <v>30</v>
      </c>
      <c r="O66" s="3">
        <f t="shared" ref="O66:O129" si="11">WEEKDAY(A66,2)</f>
        <v>1</v>
      </c>
    </row>
    <row r="67" spans="1:15" x14ac:dyDescent="0.2">
      <c r="A67" s="2">
        <v>43832</v>
      </c>
      <c r="B67" s="3">
        <v>23723</v>
      </c>
      <c r="C67" s="3">
        <v>23510</v>
      </c>
      <c r="D67" s="3">
        <v>23780</v>
      </c>
      <c r="E67" s="3">
        <v>23470</v>
      </c>
      <c r="F67" s="3">
        <v>18710</v>
      </c>
      <c r="G67" s="7">
        <f t="shared" si="3"/>
        <v>1</v>
      </c>
      <c r="H67" s="5">
        <f t="shared" ref="H67:H130" si="12">(B67-B66)/B66</f>
        <v>1.337035454933789E-2</v>
      </c>
      <c r="I67" s="4">
        <f t="shared" ref="I67:I130" si="13">(C67-C66)/C66</f>
        <v>-6.1297822870429088E-3</v>
      </c>
      <c r="J67" s="4">
        <f t="shared" ref="J67:J130" si="14">(D67-D66)/D66</f>
        <v>4.8594971476864568E-3</v>
      </c>
      <c r="K67" s="4">
        <f t="shared" ref="K67:K130" si="15">(E67-E66)/E66</f>
        <v>2.9914529914529917E-3</v>
      </c>
      <c r="L67" s="4">
        <f t="shared" ref="L67:L130" si="16">(F67-F66)/F66</f>
        <v>0.11170528817587641</v>
      </c>
      <c r="M67" s="3">
        <f t="shared" si="9"/>
        <v>1</v>
      </c>
      <c r="N67" s="3">
        <f t="shared" si="10"/>
        <v>2</v>
      </c>
      <c r="O67" s="3">
        <f t="shared" si="11"/>
        <v>4</v>
      </c>
    </row>
    <row r="68" spans="1:15" x14ac:dyDescent="0.2">
      <c r="A68" s="2">
        <v>43833</v>
      </c>
      <c r="B68" s="3">
        <v>23596</v>
      </c>
      <c r="C68" s="3">
        <v>23630</v>
      </c>
      <c r="D68" s="3">
        <v>23655</v>
      </c>
      <c r="E68" s="3">
        <v>23410</v>
      </c>
      <c r="F68" s="3">
        <v>23590</v>
      </c>
      <c r="G68" s="7">
        <f t="shared" ref="G68:G131" si="17">IF(H68&lt;0, 0, 1)</f>
        <v>0</v>
      </c>
      <c r="H68" s="5">
        <f t="shared" si="12"/>
        <v>-5.353454453483961E-3</v>
      </c>
      <c r="I68" s="4">
        <f t="shared" si="13"/>
        <v>5.1042109740535944E-3</v>
      </c>
      <c r="J68" s="4">
        <f t="shared" si="14"/>
        <v>-5.2565180824222036E-3</v>
      </c>
      <c r="K68" s="4">
        <f t="shared" si="15"/>
        <v>-2.5564550489987218E-3</v>
      </c>
      <c r="L68" s="4">
        <f t="shared" si="16"/>
        <v>0.26082308925708175</v>
      </c>
      <c r="M68" s="3">
        <f t="shared" si="9"/>
        <v>1</v>
      </c>
      <c r="N68" s="3">
        <f t="shared" si="10"/>
        <v>3</v>
      </c>
      <c r="O68" s="3">
        <f t="shared" si="11"/>
        <v>5</v>
      </c>
    </row>
    <row r="69" spans="1:15" x14ac:dyDescent="0.2">
      <c r="A69" s="2">
        <v>43836</v>
      </c>
      <c r="B69" s="3">
        <v>23476</v>
      </c>
      <c r="C69" s="3">
        <v>23475</v>
      </c>
      <c r="D69" s="3">
        <v>23505</v>
      </c>
      <c r="E69" s="3">
        <v>23155</v>
      </c>
      <c r="F69" s="3">
        <v>22800</v>
      </c>
      <c r="G69" s="7">
        <f t="shared" si="17"/>
        <v>0</v>
      </c>
      <c r="H69" s="5">
        <f t="shared" si="12"/>
        <v>-5.0856077301237495E-3</v>
      </c>
      <c r="I69" s="4">
        <f t="shared" si="13"/>
        <v>-6.5594583157003805E-3</v>
      </c>
      <c r="J69" s="4">
        <f t="shared" si="14"/>
        <v>-6.3411540900443885E-3</v>
      </c>
      <c r="K69" s="4">
        <f t="shared" si="15"/>
        <v>-1.0892780862879111E-2</v>
      </c>
      <c r="L69" s="4">
        <f t="shared" si="16"/>
        <v>-3.3488766426451884E-2</v>
      </c>
      <c r="M69" s="3">
        <f t="shared" si="9"/>
        <v>1</v>
      </c>
      <c r="N69" s="3">
        <f t="shared" si="10"/>
        <v>6</v>
      </c>
      <c r="O69" s="3">
        <f t="shared" si="11"/>
        <v>1</v>
      </c>
    </row>
    <row r="70" spans="1:15" x14ac:dyDescent="0.2">
      <c r="A70" s="2">
        <v>43837</v>
      </c>
      <c r="B70" s="3">
        <v>23617</v>
      </c>
      <c r="C70" s="3">
        <v>23565</v>
      </c>
      <c r="D70" s="3">
        <v>23690</v>
      </c>
      <c r="E70" s="3">
        <v>23525</v>
      </c>
      <c r="F70" s="3">
        <v>20290</v>
      </c>
      <c r="G70" s="7">
        <f t="shared" si="17"/>
        <v>1</v>
      </c>
      <c r="H70" s="5">
        <f t="shared" si="12"/>
        <v>6.0061339240074967E-3</v>
      </c>
      <c r="I70" s="4">
        <f t="shared" si="13"/>
        <v>3.8338658146964857E-3</v>
      </c>
      <c r="J70" s="4">
        <f t="shared" si="14"/>
        <v>7.8706658157838751E-3</v>
      </c>
      <c r="K70" s="4">
        <f t="shared" si="15"/>
        <v>1.5979270136039732E-2</v>
      </c>
      <c r="L70" s="4">
        <f t="shared" si="16"/>
        <v>-0.11008771929824561</v>
      </c>
      <c r="M70" s="3">
        <f t="shared" si="9"/>
        <v>1</v>
      </c>
      <c r="N70" s="3">
        <f t="shared" si="10"/>
        <v>7</v>
      </c>
      <c r="O70" s="3">
        <f t="shared" si="11"/>
        <v>2</v>
      </c>
    </row>
    <row r="71" spans="1:15" x14ac:dyDescent="0.2">
      <c r="A71" s="2">
        <v>43838</v>
      </c>
      <c r="B71" s="3">
        <v>23726</v>
      </c>
      <c r="C71" s="3">
        <v>23450</v>
      </c>
      <c r="D71" s="3">
        <v>23835</v>
      </c>
      <c r="E71" s="3">
        <v>23365</v>
      </c>
      <c r="F71" s="3">
        <v>24360</v>
      </c>
      <c r="G71" s="7">
        <f t="shared" si="17"/>
        <v>1</v>
      </c>
      <c r="H71" s="5">
        <f t="shared" si="12"/>
        <v>4.615319473260787E-3</v>
      </c>
      <c r="I71" s="4">
        <f t="shared" si="13"/>
        <v>-4.8801188202843198E-3</v>
      </c>
      <c r="J71" s="4">
        <f t="shared" si="14"/>
        <v>6.1207260447446177E-3</v>
      </c>
      <c r="K71" s="4">
        <f t="shared" si="15"/>
        <v>-6.8012752391073327E-3</v>
      </c>
      <c r="L71" s="4">
        <f t="shared" si="16"/>
        <v>0.20059142434696894</v>
      </c>
      <c r="M71" s="3">
        <f t="shared" si="9"/>
        <v>1</v>
      </c>
      <c r="N71" s="3">
        <f t="shared" si="10"/>
        <v>8</v>
      </c>
      <c r="O71" s="3">
        <f t="shared" si="11"/>
        <v>3</v>
      </c>
    </row>
    <row r="72" spans="1:15" x14ac:dyDescent="0.2">
      <c r="A72" s="2">
        <v>43839</v>
      </c>
      <c r="B72" s="3">
        <v>23930</v>
      </c>
      <c r="C72" s="3">
        <v>23880</v>
      </c>
      <c r="D72" s="3">
        <v>23985</v>
      </c>
      <c r="E72" s="3">
        <v>23865</v>
      </c>
      <c r="F72" s="3">
        <v>18380</v>
      </c>
      <c r="G72" s="7">
        <f t="shared" si="17"/>
        <v>1</v>
      </c>
      <c r="H72" s="5">
        <f t="shared" si="12"/>
        <v>8.598162353536205E-3</v>
      </c>
      <c r="I72" s="4">
        <f t="shared" si="13"/>
        <v>1.8336886993603412E-2</v>
      </c>
      <c r="J72" s="4">
        <f t="shared" si="14"/>
        <v>6.2932662051604785E-3</v>
      </c>
      <c r="K72" s="4">
        <f t="shared" si="15"/>
        <v>2.1399529210357371E-2</v>
      </c>
      <c r="L72" s="4">
        <f t="shared" si="16"/>
        <v>-0.24548440065681446</v>
      </c>
      <c r="M72" s="3">
        <f t="shared" si="9"/>
        <v>1</v>
      </c>
      <c r="N72" s="3">
        <f t="shared" si="10"/>
        <v>9</v>
      </c>
      <c r="O72" s="3">
        <f t="shared" si="11"/>
        <v>4</v>
      </c>
    </row>
    <row r="73" spans="1:15" x14ac:dyDescent="0.2">
      <c r="A73" s="2">
        <v>43840</v>
      </c>
      <c r="B73" s="3">
        <v>23931</v>
      </c>
      <c r="C73" s="3">
        <v>23965</v>
      </c>
      <c r="D73" s="3">
        <v>24045</v>
      </c>
      <c r="E73" s="3">
        <v>23865</v>
      </c>
      <c r="F73" s="3">
        <v>16080</v>
      </c>
      <c r="G73" s="7">
        <f t="shared" si="17"/>
        <v>1</v>
      </c>
      <c r="H73" s="5">
        <f t="shared" si="12"/>
        <v>4.1788549937317175E-5</v>
      </c>
      <c r="I73" s="4">
        <f t="shared" si="13"/>
        <v>3.5594639865996649E-3</v>
      </c>
      <c r="J73" s="4">
        <f t="shared" si="14"/>
        <v>2.5015634771732333E-3</v>
      </c>
      <c r="K73" s="4">
        <f t="shared" si="15"/>
        <v>0</v>
      </c>
      <c r="L73" s="4">
        <f t="shared" si="16"/>
        <v>-0.12513601741022851</v>
      </c>
      <c r="M73" s="3">
        <f t="shared" si="9"/>
        <v>1</v>
      </c>
      <c r="N73" s="3">
        <f t="shared" si="10"/>
        <v>10</v>
      </c>
      <c r="O73" s="3">
        <f t="shared" si="11"/>
        <v>5</v>
      </c>
    </row>
    <row r="74" spans="1:15" x14ac:dyDescent="0.2">
      <c r="A74" s="2">
        <v>43843</v>
      </c>
      <c r="B74" s="3">
        <v>23781</v>
      </c>
      <c r="C74" s="3">
        <v>23965</v>
      </c>
      <c r="D74" s="3">
        <v>23965</v>
      </c>
      <c r="E74" s="3">
        <v>23720</v>
      </c>
      <c r="F74" s="3">
        <v>21080</v>
      </c>
      <c r="G74" s="7">
        <f t="shared" si="17"/>
        <v>0</v>
      </c>
      <c r="H74" s="5">
        <f t="shared" si="12"/>
        <v>-6.268020559107434E-3</v>
      </c>
      <c r="I74" s="4">
        <f t="shared" si="13"/>
        <v>0</v>
      </c>
      <c r="J74" s="4">
        <f t="shared" si="14"/>
        <v>-3.3270950301517986E-3</v>
      </c>
      <c r="K74" s="4">
        <f t="shared" si="15"/>
        <v>-6.0758432851456112E-3</v>
      </c>
      <c r="L74" s="4">
        <f t="shared" si="16"/>
        <v>0.31094527363184077</v>
      </c>
      <c r="M74" s="3">
        <f t="shared" si="9"/>
        <v>1</v>
      </c>
      <c r="N74" s="3">
        <f t="shared" si="10"/>
        <v>13</v>
      </c>
      <c r="O74" s="3">
        <f t="shared" si="11"/>
        <v>1</v>
      </c>
    </row>
    <row r="75" spans="1:15" x14ac:dyDescent="0.2">
      <c r="A75" s="2">
        <v>43844</v>
      </c>
      <c r="B75" s="3">
        <v>23815</v>
      </c>
      <c r="C75" s="3">
        <v>23830</v>
      </c>
      <c r="D75" s="3">
        <v>23850</v>
      </c>
      <c r="E75" s="3">
        <v>23600</v>
      </c>
      <c r="F75" s="3">
        <v>21580</v>
      </c>
      <c r="G75" s="7">
        <f t="shared" si="17"/>
        <v>1</v>
      </c>
      <c r="H75" s="5">
        <f t="shared" si="12"/>
        <v>1.4297127959295235E-3</v>
      </c>
      <c r="I75" s="4">
        <f t="shared" si="13"/>
        <v>-5.6332151053619861E-3</v>
      </c>
      <c r="J75" s="4">
        <f t="shared" si="14"/>
        <v>-4.7986647193824323E-3</v>
      </c>
      <c r="K75" s="4">
        <f t="shared" si="15"/>
        <v>-5.0590219224283303E-3</v>
      </c>
      <c r="L75" s="4">
        <f t="shared" si="16"/>
        <v>2.3719165085388995E-2</v>
      </c>
      <c r="M75" s="3">
        <f t="shared" si="9"/>
        <v>1</v>
      </c>
      <c r="N75" s="3">
        <f t="shared" si="10"/>
        <v>14</v>
      </c>
      <c r="O75" s="3">
        <f t="shared" si="11"/>
        <v>2</v>
      </c>
    </row>
    <row r="76" spans="1:15" x14ac:dyDescent="0.2">
      <c r="A76" s="2">
        <v>43845</v>
      </c>
      <c r="B76" s="3">
        <v>23655</v>
      </c>
      <c r="C76" s="3">
        <v>23785</v>
      </c>
      <c r="D76" s="3">
        <v>23835</v>
      </c>
      <c r="E76" s="3">
        <v>23615</v>
      </c>
      <c r="F76" s="3">
        <v>18160</v>
      </c>
      <c r="G76" s="7">
        <f t="shared" si="17"/>
        <v>0</v>
      </c>
      <c r="H76" s="5">
        <f t="shared" si="12"/>
        <v>-6.7184547554062562E-3</v>
      </c>
      <c r="I76" s="4">
        <f t="shared" si="13"/>
        <v>-1.8883759966428872E-3</v>
      </c>
      <c r="J76" s="4">
        <f t="shared" si="14"/>
        <v>-6.2893081761006286E-4</v>
      </c>
      <c r="K76" s="4">
        <f t="shared" si="15"/>
        <v>6.3559322033898301E-4</v>
      </c>
      <c r="L76" s="4">
        <f t="shared" si="16"/>
        <v>-0.15848007414272475</v>
      </c>
      <c r="M76" s="3">
        <f t="shared" si="9"/>
        <v>1</v>
      </c>
      <c r="N76" s="3">
        <f t="shared" si="10"/>
        <v>15</v>
      </c>
      <c r="O76" s="3">
        <f t="shared" si="11"/>
        <v>3</v>
      </c>
    </row>
    <row r="77" spans="1:15" x14ac:dyDescent="0.2">
      <c r="A77" s="2">
        <v>43846</v>
      </c>
      <c r="B77" s="3">
        <v>23824</v>
      </c>
      <c r="C77" s="3">
        <v>23745</v>
      </c>
      <c r="D77" s="3">
        <v>23885</v>
      </c>
      <c r="E77" s="3">
        <v>23655</v>
      </c>
      <c r="F77" s="3">
        <v>19800</v>
      </c>
      <c r="G77" s="7">
        <f t="shared" si="17"/>
        <v>1</v>
      </c>
      <c r="H77" s="5">
        <f t="shared" si="12"/>
        <v>7.1443669414500109E-3</v>
      </c>
      <c r="I77" s="4">
        <f t="shared" si="13"/>
        <v>-1.6817321841496743E-3</v>
      </c>
      <c r="J77" s="4">
        <f t="shared" si="14"/>
        <v>2.0977554017201595E-3</v>
      </c>
      <c r="K77" s="4">
        <f t="shared" si="15"/>
        <v>1.6938386618674571E-3</v>
      </c>
      <c r="L77" s="4">
        <f t="shared" si="16"/>
        <v>9.0308370044052858E-2</v>
      </c>
      <c r="M77" s="3">
        <f t="shared" si="9"/>
        <v>1</v>
      </c>
      <c r="N77" s="3">
        <f t="shared" si="10"/>
        <v>16</v>
      </c>
      <c r="O77" s="3">
        <f t="shared" si="11"/>
        <v>4</v>
      </c>
    </row>
    <row r="78" spans="1:15" x14ac:dyDescent="0.2">
      <c r="A78" s="2">
        <v>43847</v>
      </c>
      <c r="B78" s="3">
        <v>24035</v>
      </c>
      <c r="C78" s="3">
        <v>23960</v>
      </c>
      <c r="D78" s="3">
        <v>24075</v>
      </c>
      <c r="E78" s="3">
        <v>23905</v>
      </c>
      <c r="F78" s="3">
        <v>20200</v>
      </c>
      <c r="G78" s="7">
        <f t="shared" si="17"/>
        <v>1</v>
      </c>
      <c r="H78" s="5">
        <f t="shared" si="12"/>
        <v>8.8566151779717935E-3</v>
      </c>
      <c r="I78" s="4">
        <f t="shared" si="13"/>
        <v>9.0545377974310375E-3</v>
      </c>
      <c r="J78" s="4">
        <f t="shared" si="14"/>
        <v>7.9547833368222732E-3</v>
      </c>
      <c r="K78" s="4">
        <f t="shared" si="15"/>
        <v>1.056859015007398E-2</v>
      </c>
      <c r="L78" s="4">
        <f t="shared" si="16"/>
        <v>2.0202020202020204E-2</v>
      </c>
      <c r="M78" s="3">
        <f t="shared" si="9"/>
        <v>1</v>
      </c>
      <c r="N78" s="3">
        <f t="shared" si="10"/>
        <v>17</v>
      </c>
      <c r="O78" s="3">
        <f t="shared" si="11"/>
        <v>5</v>
      </c>
    </row>
    <row r="79" spans="1:15" x14ac:dyDescent="0.2">
      <c r="A79" s="2">
        <v>43850</v>
      </c>
      <c r="B79" s="3">
        <v>23977</v>
      </c>
      <c r="C79" s="3">
        <v>24015</v>
      </c>
      <c r="D79" s="3">
        <v>24070</v>
      </c>
      <c r="E79" s="3">
        <v>23950</v>
      </c>
      <c r="F79" s="3">
        <v>11860</v>
      </c>
      <c r="G79" s="7">
        <f t="shared" si="17"/>
        <v>0</v>
      </c>
      <c r="H79" s="5">
        <f t="shared" si="12"/>
        <v>-2.4131474932390265E-3</v>
      </c>
      <c r="I79" s="4">
        <f t="shared" si="13"/>
        <v>2.2954924874791318E-3</v>
      </c>
      <c r="J79" s="4">
        <f t="shared" si="14"/>
        <v>-2.0768431983385254E-4</v>
      </c>
      <c r="K79" s="4">
        <f t="shared" si="15"/>
        <v>1.8824513700062748E-3</v>
      </c>
      <c r="L79" s="4">
        <f t="shared" si="16"/>
        <v>-0.41287128712871285</v>
      </c>
      <c r="M79" s="3">
        <f t="shared" si="9"/>
        <v>1</v>
      </c>
      <c r="N79" s="3">
        <f t="shared" si="10"/>
        <v>20</v>
      </c>
      <c r="O79" s="3">
        <f t="shared" si="11"/>
        <v>1</v>
      </c>
    </row>
    <row r="80" spans="1:15" x14ac:dyDescent="0.2">
      <c r="A80" s="2">
        <v>43851</v>
      </c>
      <c r="B80" s="3">
        <v>23835</v>
      </c>
      <c r="C80" s="3">
        <v>23850</v>
      </c>
      <c r="D80" s="3">
        <v>23860</v>
      </c>
      <c r="E80" s="3">
        <v>23620</v>
      </c>
      <c r="F80" s="3">
        <v>25370</v>
      </c>
      <c r="G80" s="7">
        <f t="shared" si="17"/>
        <v>0</v>
      </c>
      <c r="H80" s="5">
        <f t="shared" si="12"/>
        <v>-5.9223422446511237E-3</v>
      </c>
      <c r="I80" s="4">
        <f t="shared" si="13"/>
        <v>-6.8707058088694562E-3</v>
      </c>
      <c r="J80" s="4">
        <f t="shared" si="14"/>
        <v>-8.724553385957623E-3</v>
      </c>
      <c r="K80" s="4">
        <f t="shared" si="15"/>
        <v>-1.3778705636743214E-2</v>
      </c>
      <c r="L80" s="4">
        <f t="shared" si="16"/>
        <v>1.139123102866779</v>
      </c>
      <c r="M80" s="3">
        <f t="shared" si="9"/>
        <v>1</v>
      </c>
      <c r="N80" s="3">
        <f t="shared" si="10"/>
        <v>21</v>
      </c>
      <c r="O80" s="3">
        <f t="shared" si="11"/>
        <v>2</v>
      </c>
    </row>
    <row r="81" spans="1:15" x14ac:dyDescent="0.2">
      <c r="A81" s="2">
        <v>43852</v>
      </c>
      <c r="B81" s="3">
        <v>23674</v>
      </c>
      <c r="C81" s="3">
        <v>23880</v>
      </c>
      <c r="D81" s="3">
        <v>23890</v>
      </c>
      <c r="E81" s="3">
        <v>23655</v>
      </c>
      <c r="F81" s="3">
        <v>21750</v>
      </c>
      <c r="G81" s="7">
        <f t="shared" si="17"/>
        <v>0</v>
      </c>
      <c r="H81" s="5">
        <f t="shared" si="12"/>
        <v>-6.7547723935389133E-3</v>
      </c>
      <c r="I81" s="4">
        <f t="shared" si="13"/>
        <v>1.2578616352201257E-3</v>
      </c>
      <c r="J81" s="4">
        <f t="shared" si="14"/>
        <v>1.2573344509639564E-3</v>
      </c>
      <c r="K81" s="4">
        <f t="shared" si="15"/>
        <v>1.4817950889077054E-3</v>
      </c>
      <c r="L81" s="4">
        <f t="shared" si="16"/>
        <v>-0.14268821442648799</v>
      </c>
      <c r="M81" s="3">
        <f t="shared" si="9"/>
        <v>1</v>
      </c>
      <c r="N81" s="3">
        <f t="shared" si="10"/>
        <v>22</v>
      </c>
      <c r="O81" s="3">
        <f t="shared" si="11"/>
        <v>3</v>
      </c>
    </row>
    <row r="82" spans="1:15" x14ac:dyDescent="0.2">
      <c r="A82" s="2">
        <v>43853</v>
      </c>
      <c r="B82" s="3">
        <v>23694</v>
      </c>
      <c r="C82" s="3">
        <v>23670</v>
      </c>
      <c r="D82" s="3">
        <v>23885</v>
      </c>
      <c r="E82" s="3">
        <v>23585</v>
      </c>
      <c r="F82" s="3">
        <v>23240</v>
      </c>
      <c r="G82" s="7">
        <f t="shared" si="17"/>
        <v>1</v>
      </c>
      <c r="H82" s="5">
        <f t="shared" si="12"/>
        <v>8.4480865084058461E-4</v>
      </c>
      <c r="I82" s="4">
        <f t="shared" si="13"/>
        <v>-8.7939698492462311E-3</v>
      </c>
      <c r="J82" s="4">
        <f t="shared" si="14"/>
        <v>-2.0929259104227711E-4</v>
      </c>
      <c r="K82" s="4">
        <f t="shared" si="15"/>
        <v>-2.9592052420207146E-3</v>
      </c>
      <c r="L82" s="4">
        <f t="shared" si="16"/>
        <v>6.8505747126436783E-2</v>
      </c>
      <c r="M82" s="3">
        <f t="shared" si="9"/>
        <v>1</v>
      </c>
      <c r="N82" s="3">
        <f t="shared" si="10"/>
        <v>23</v>
      </c>
      <c r="O82" s="3">
        <f t="shared" si="11"/>
        <v>4</v>
      </c>
    </row>
    <row r="83" spans="1:15" x14ac:dyDescent="0.2">
      <c r="A83" s="2">
        <v>43854</v>
      </c>
      <c r="B83" s="3">
        <v>23931</v>
      </c>
      <c r="C83" s="3">
        <v>23810</v>
      </c>
      <c r="D83" s="3">
        <v>24070</v>
      </c>
      <c r="E83" s="3">
        <v>23810</v>
      </c>
      <c r="F83" s="3">
        <v>23660</v>
      </c>
      <c r="G83" s="7">
        <f t="shared" si="17"/>
        <v>1</v>
      </c>
      <c r="H83" s="5">
        <f t="shared" si="12"/>
        <v>1.0002532286654849E-2</v>
      </c>
      <c r="I83" s="4">
        <f t="shared" si="13"/>
        <v>5.9146599070553441E-3</v>
      </c>
      <c r="J83" s="4">
        <f t="shared" si="14"/>
        <v>7.745446933221687E-3</v>
      </c>
      <c r="K83" s="4">
        <f t="shared" si="15"/>
        <v>9.5399618401526397E-3</v>
      </c>
      <c r="L83" s="4">
        <f t="shared" si="16"/>
        <v>1.8072289156626505E-2</v>
      </c>
      <c r="M83" s="3">
        <f t="shared" si="9"/>
        <v>1</v>
      </c>
      <c r="N83" s="3">
        <f t="shared" si="10"/>
        <v>24</v>
      </c>
      <c r="O83" s="3">
        <f t="shared" si="11"/>
        <v>5</v>
      </c>
    </row>
    <row r="84" spans="1:15" x14ac:dyDescent="0.2">
      <c r="A84" s="2">
        <v>43857</v>
      </c>
      <c r="B84" s="3">
        <v>23413</v>
      </c>
      <c r="C84" s="3">
        <v>23670</v>
      </c>
      <c r="D84" s="3">
        <v>23965</v>
      </c>
      <c r="E84" s="3">
        <v>23360</v>
      </c>
      <c r="F84" s="3">
        <v>43570</v>
      </c>
      <c r="G84" s="7">
        <f t="shared" si="17"/>
        <v>0</v>
      </c>
      <c r="H84" s="5">
        <f t="shared" si="12"/>
        <v>-2.164556433078434E-2</v>
      </c>
      <c r="I84" s="4">
        <f t="shared" si="13"/>
        <v>-5.8798824023519533E-3</v>
      </c>
      <c r="J84" s="4">
        <f t="shared" si="14"/>
        <v>-4.3622766929788115E-3</v>
      </c>
      <c r="K84" s="4">
        <f t="shared" si="15"/>
        <v>-1.889962200755985E-2</v>
      </c>
      <c r="L84" s="4">
        <f t="shared" si="16"/>
        <v>0.84150464919695689</v>
      </c>
      <c r="M84" s="3">
        <f t="shared" si="9"/>
        <v>1</v>
      </c>
      <c r="N84" s="3">
        <f t="shared" si="10"/>
        <v>27</v>
      </c>
      <c r="O84" s="3">
        <f t="shared" si="11"/>
        <v>1</v>
      </c>
    </row>
    <row r="85" spans="1:15" x14ac:dyDescent="0.2">
      <c r="A85" s="2">
        <v>43858</v>
      </c>
      <c r="B85" s="3">
        <v>24010</v>
      </c>
      <c r="C85" s="3">
        <v>23500</v>
      </c>
      <c r="D85" s="3">
        <v>24045</v>
      </c>
      <c r="E85" s="3">
        <v>23405</v>
      </c>
      <c r="F85" s="3">
        <v>34870</v>
      </c>
      <c r="G85" s="7">
        <f t="shared" si="17"/>
        <v>1</v>
      </c>
      <c r="H85" s="5">
        <f t="shared" si="12"/>
        <v>2.5498654593601844E-2</v>
      </c>
      <c r="I85" s="4">
        <f t="shared" si="13"/>
        <v>-7.1820870299957752E-3</v>
      </c>
      <c r="J85" s="4">
        <f t="shared" si="14"/>
        <v>3.3382015439182141E-3</v>
      </c>
      <c r="K85" s="4">
        <f t="shared" si="15"/>
        <v>1.9263698630136985E-3</v>
      </c>
      <c r="L85" s="4">
        <f t="shared" si="16"/>
        <v>-0.19967867798944228</v>
      </c>
      <c r="M85" s="3">
        <f t="shared" si="9"/>
        <v>1</v>
      </c>
      <c r="N85" s="3">
        <f t="shared" si="10"/>
        <v>28</v>
      </c>
      <c r="O85" s="3">
        <f t="shared" si="11"/>
        <v>2</v>
      </c>
    </row>
    <row r="86" spans="1:15" x14ac:dyDescent="0.2">
      <c r="A86" s="2">
        <v>43859</v>
      </c>
      <c r="B86" s="3">
        <v>24160</v>
      </c>
      <c r="C86" s="3">
        <v>24040</v>
      </c>
      <c r="D86" s="3">
        <v>24190</v>
      </c>
      <c r="E86" s="3">
        <v>23955</v>
      </c>
      <c r="F86" s="3">
        <v>23370</v>
      </c>
      <c r="G86" s="7">
        <f t="shared" si="17"/>
        <v>1</v>
      </c>
      <c r="H86" s="5">
        <f t="shared" si="12"/>
        <v>6.2473969179508539E-3</v>
      </c>
      <c r="I86" s="4">
        <f t="shared" si="13"/>
        <v>2.297872340425532E-2</v>
      </c>
      <c r="J86" s="4">
        <f t="shared" si="14"/>
        <v>6.0303597421501355E-3</v>
      </c>
      <c r="K86" s="4">
        <f t="shared" si="15"/>
        <v>2.349925229651784E-2</v>
      </c>
      <c r="L86" s="4">
        <f t="shared" si="16"/>
        <v>-0.32979638657872096</v>
      </c>
      <c r="M86" s="3">
        <f t="shared" si="9"/>
        <v>1</v>
      </c>
      <c r="N86" s="3">
        <f t="shared" si="10"/>
        <v>29</v>
      </c>
      <c r="O86" s="3">
        <f t="shared" si="11"/>
        <v>3</v>
      </c>
    </row>
    <row r="87" spans="1:15" x14ac:dyDescent="0.2">
      <c r="A87" s="2">
        <v>43860</v>
      </c>
      <c r="B87" s="3">
        <v>23762</v>
      </c>
      <c r="C87" s="3">
        <v>23875</v>
      </c>
      <c r="D87" s="3">
        <v>23965</v>
      </c>
      <c r="E87" s="3">
        <v>23665</v>
      </c>
      <c r="F87" s="3">
        <v>32950</v>
      </c>
      <c r="G87" s="7">
        <f t="shared" si="17"/>
        <v>0</v>
      </c>
      <c r="H87" s="5">
        <f t="shared" si="12"/>
        <v>-1.6473509933774836E-2</v>
      </c>
      <c r="I87" s="4">
        <f t="shared" si="13"/>
        <v>-6.8635607321131447E-3</v>
      </c>
      <c r="J87" s="4">
        <f t="shared" si="14"/>
        <v>-9.3013642000826791E-3</v>
      </c>
      <c r="K87" s="4">
        <f t="shared" si="15"/>
        <v>-1.2106032143602587E-2</v>
      </c>
      <c r="L87" s="4">
        <f t="shared" si="16"/>
        <v>0.40992725716730849</v>
      </c>
      <c r="M87" s="3">
        <f t="shared" si="9"/>
        <v>1</v>
      </c>
      <c r="N87" s="3">
        <f t="shared" si="10"/>
        <v>30</v>
      </c>
      <c r="O87" s="3">
        <f t="shared" si="11"/>
        <v>4</v>
      </c>
    </row>
    <row r="88" spans="1:15" x14ac:dyDescent="0.2">
      <c r="A88" s="2">
        <v>43861</v>
      </c>
      <c r="B88" s="3">
        <v>23219</v>
      </c>
      <c r="C88" s="3">
        <v>23885</v>
      </c>
      <c r="D88" s="3">
        <v>23885</v>
      </c>
      <c r="E88" s="3">
        <v>23180</v>
      </c>
      <c r="F88" s="3">
        <v>39050</v>
      </c>
      <c r="G88" s="7">
        <f t="shared" si="17"/>
        <v>0</v>
      </c>
      <c r="H88" s="5">
        <f t="shared" si="12"/>
        <v>-2.2851611817187107E-2</v>
      </c>
      <c r="I88" s="4">
        <f t="shared" si="13"/>
        <v>4.18848167539267E-4</v>
      </c>
      <c r="J88" s="4">
        <f t="shared" si="14"/>
        <v>-3.3382015439182141E-3</v>
      </c>
      <c r="K88" s="4">
        <f t="shared" si="15"/>
        <v>-2.0494401014155925E-2</v>
      </c>
      <c r="L88" s="4">
        <f t="shared" si="16"/>
        <v>0.18512898330804248</v>
      </c>
      <c r="M88" s="3">
        <f t="shared" si="9"/>
        <v>1</v>
      </c>
      <c r="N88" s="3">
        <f t="shared" si="10"/>
        <v>31</v>
      </c>
      <c r="O88" s="3">
        <f t="shared" si="11"/>
        <v>5</v>
      </c>
    </row>
    <row r="89" spans="1:15" x14ac:dyDescent="0.2">
      <c r="A89" s="2">
        <v>43864</v>
      </c>
      <c r="B89" s="3">
        <v>23417</v>
      </c>
      <c r="C89" s="3">
        <v>23290</v>
      </c>
      <c r="D89" s="3">
        <v>23445</v>
      </c>
      <c r="E89" s="3">
        <v>23200</v>
      </c>
      <c r="F89" s="3">
        <v>25600</v>
      </c>
      <c r="G89" s="7">
        <f t="shared" si="17"/>
        <v>1</v>
      </c>
      <c r="H89" s="5">
        <f t="shared" si="12"/>
        <v>8.5274990309660188E-3</v>
      </c>
      <c r="I89" s="4">
        <f t="shared" si="13"/>
        <v>-2.491103202846975E-2</v>
      </c>
      <c r="J89" s="4">
        <f t="shared" si="14"/>
        <v>-1.8421603516851581E-2</v>
      </c>
      <c r="K89" s="4">
        <f t="shared" si="15"/>
        <v>8.6281276962899055E-4</v>
      </c>
      <c r="L89" s="4">
        <f t="shared" si="16"/>
        <v>-0.34443021766965431</v>
      </c>
      <c r="M89" s="3">
        <f t="shared" si="9"/>
        <v>2</v>
      </c>
      <c r="N89" s="3">
        <f t="shared" si="10"/>
        <v>3</v>
      </c>
      <c r="O89" s="3">
        <f t="shared" si="11"/>
        <v>1</v>
      </c>
    </row>
    <row r="90" spans="1:15" x14ac:dyDescent="0.2">
      <c r="A90" s="2">
        <v>43865</v>
      </c>
      <c r="B90" s="3">
        <v>23832</v>
      </c>
      <c r="C90" s="3">
        <v>23600</v>
      </c>
      <c r="D90" s="3">
        <v>23885</v>
      </c>
      <c r="E90" s="3">
        <v>23525</v>
      </c>
      <c r="F90" s="3">
        <v>23900</v>
      </c>
      <c r="G90" s="7">
        <f t="shared" si="17"/>
        <v>1</v>
      </c>
      <c r="H90" s="5">
        <f t="shared" si="12"/>
        <v>1.7722167655976426E-2</v>
      </c>
      <c r="I90" s="4">
        <f t="shared" si="13"/>
        <v>1.3310433662516101E-2</v>
      </c>
      <c r="J90" s="4">
        <f t="shared" si="14"/>
        <v>1.8767327788441032E-2</v>
      </c>
      <c r="K90" s="4">
        <f t="shared" si="15"/>
        <v>1.4008620689655173E-2</v>
      </c>
      <c r="L90" s="4">
        <f t="shared" si="16"/>
        <v>-6.640625E-2</v>
      </c>
      <c r="M90" s="3">
        <f t="shared" si="9"/>
        <v>2</v>
      </c>
      <c r="N90" s="3">
        <f t="shared" si="10"/>
        <v>4</v>
      </c>
      <c r="O90" s="3">
        <f t="shared" si="11"/>
        <v>2</v>
      </c>
    </row>
    <row r="91" spans="1:15" x14ac:dyDescent="0.2">
      <c r="A91" s="2">
        <v>43866</v>
      </c>
      <c r="B91" s="3">
        <v>24224</v>
      </c>
      <c r="C91" s="3">
        <v>23755</v>
      </c>
      <c r="D91" s="3">
        <v>24260</v>
      </c>
      <c r="E91" s="3">
        <v>23720</v>
      </c>
      <c r="F91" s="3">
        <v>31700</v>
      </c>
      <c r="G91" s="7">
        <f t="shared" si="17"/>
        <v>1</v>
      </c>
      <c r="H91" s="5">
        <f t="shared" si="12"/>
        <v>1.6448472641826115E-2</v>
      </c>
      <c r="I91" s="4">
        <f t="shared" si="13"/>
        <v>6.5677966101694912E-3</v>
      </c>
      <c r="J91" s="4">
        <f t="shared" si="14"/>
        <v>1.5700230270043962E-2</v>
      </c>
      <c r="K91" s="4">
        <f t="shared" si="15"/>
        <v>8.2890541976620609E-3</v>
      </c>
      <c r="L91" s="4">
        <f t="shared" si="16"/>
        <v>0.32635983263598328</v>
      </c>
      <c r="M91" s="3">
        <f t="shared" si="9"/>
        <v>2</v>
      </c>
      <c r="N91" s="3">
        <f t="shared" si="10"/>
        <v>5</v>
      </c>
      <c r="O91" s="3">
        <f t="shared" si="11"/>
        <v>3</v>
      </c>
    </row>
    <row r="92" spans="1:15" x14ac:dyDescent="0.2">
      <c r="A92" s="2">
        <v>43867</v>
      </c>
      <c r="B92" s="3">
        <v>24478</v>
      </c>
      <c r="C92" s="3">
        <v>24420</v>
      </c>
      <c r="D92" s="3">
        <v>24490</v>
      </c>
      <c r="E92" s="3">
        <v>24325</v>
      </c>
      <c r="F92" s="3">
        <v>22770</v>
      </c>
      <c r="G92" s="7">
        <f t="shared" si="17"/>
        <v>1</v>
      </c>
      <c r="H92" s="5">
        <f t="shared" si="12"/>
        <v>1.048546895640687E-2</v>
      </c>
      <c r="I92" s="4">
        <f t="shared" si="13"/>
        <v>2.7994106503893917E-2</v>
      </c>
      <c r="J92" s="4">
        <f t="shared" si="14"/>
        <v>9.4806265457543278E-3</v>
      </c>
      <c r="K92" s="4">
        <f t="shared" si="15"/>
        <v>2.5505902192242833E-2</v>
      </c>
      <c r="L92" s="4">
        <f t="shared" si="16"/>
        <v>-0.28170347003154572</v>
      </c>
      <c r="M92" s="3">
        <f t="shared" si="9"/>
        <v>2</v>
      </c>
      <c r="N92" s="3">
        <f t="shared" si="10"/>
        <v>6</v>
      </c>
      <c r="O92" s="3">
        <f t="shared" si="11"/>
        <v>4</v>
      </c>
    </row>
    <row r="93" spans="1:15" x14ac:dyDescent="0.2">
      <c r="A93" s="2">
        <v>43868</v>
      </c>
      <c r="B93" s="3">
        <v>24462</v>
      </c>
      <c r="C93" s="3">
        <v>24430</v>
      </c>
      <c r="D93" s="3">
        <v>24510</v>
      </c>
      <c r="E93" s="3">
        <v>24350</v>
      </c>
      <c r="F93" s="3">
        <v>19650</v>
      </c>
      <c r="G93" s="7">
        <f t="shared" si="17"/>
        <v>0</v>
      </c>
      <c r="H93" s="5">
        <f t="shared" si="12"/>
        <v>-6.5364817387041421E-4</v>
      </c>
      <c r="I93" s="4">
        <f t="shared" si="13"/>
        <v>4.0950040950040953E-4</v>
      </c>
      <c r="J93" s="4">
        <f t="shared" si="14"/>
        <v>8.1665986116782364E-4</v>
      </c>
      <c r="K93" s="4">
        <f t="shared" si="15"/>
        <v>1.0277492291880781E-3</v>
      </c>
      <c r="L93" s="4">
        <f t="shared" si="16"/>
        <v>-0.1370223978919631</v>
      </c>
      <c r="M93" s="3">
        <f t="shared" si="9"/>
        <v>2</v>
      </c>
      <c r="N93" s="3">
        <f t="shared" si="10"/>
        <v>7</v>
      </c>
      <c r="O93" s="3">
        <f t="shared" si="11"/>
        <v>5</v>
      </c>
    </row>
    <row r="94" spans="1:15" x14ac:dyDescent="0.2">
      <c r="A94" s="2">
        <v>43871</v>
      </c>
      <c r="B94" s="3">
        <v>24500</v>
      </c>
      <c r="C94" s="3">
        <v>24410</v>
      </c>
      <c r="D94" s="3">
        <v>24570</v>
      </c>
      <c r="E94" s="3">
        <v>24370</v>
      </c>
      <c r="F94" s="3">
        <v>17160</v>
      </c>
      <c r="G94" s="7">
        <f t="shared" si="17"/>
        <v>1</v>
      </c>
      <c r="H94" s="5">
        <f t="shared" si="12"/>
        <v>1.5534298095004496E-3</v>
      </c>
      <c r="I94" s="4">
        <f t="shared" si="13"/>
        <v>-8.1866557511256651E-4</v>
      </c>
      <c r="J94" s="4">
        <f t="shared" si="14"/>
        <v>2.4479804161566705E-3</v>
      </c>
      <c r="K94" s="4">
        <f t="shared" si="15"/>
        <v>8.2135523613963038E-4</v>
      </c>
      <c r="L94" s="4">
        <f t="shared" si="16"/>
        <v>-0.12671755725190839</v>
      </c>
      <c r="M94" s="3">
        <f t="shared" si="9"/>
        <v>2</v>
      </c>
      <c r="N94" s="3">
        <f t="shared" si="10"/>
        <v>10</v>
      </c>
      <c r="O94" s="3">
        <f t="shared" si="11"/>
        <v>1</v>
      </c>
    </row>
    <row r="95" spans="1:15" x14ac:dyDescent="0.2">
      <c r="A95" s="2">
        <v>43872</v>
      </c>
      <c r="B95" s="3">
        <v>24674</v>
      </c>
      <c r="C95" s="3">
        <v>24605</v>
      </c>
      <c r="D95" s="3">
        <v>24750</v>
      </c>
      <c r="E95" s="3">
        <v>24520</v>
      </c>
      <c r="F95" s="3">
        <v>17490</v>
      </c>
      <c r="G95" s="7">
        <f t="shared" si="17"/>
        <v>1</v>
      </c>
      <c r="H95" s="5">
        <f t="shared" si="12"/>
        <v>7.1020408163265302E-3</v>
      </c>
      <c r="I95" s="4">
        <f t="shared" si="13"/>
        <v>7.9885292912740685E-3</v>
      </c>
      <c r="J95" s="4">
        <f t="shared" si="14"/>
        <v>7.326007326007326E-3</v>
      </c>
      <c r="K95" s="4">
        <f t="shared" si="15"/>
        <v>6.155108740254411E-3</v>
      </c>
      <c r="L95" s="4">
        <f t="shared" si="16"/>
        <v>1.9230769230769232E-2</v>
      </c>
      <c r="M95" s="3">
        <f t="shared" si="9"/>
        <v>2</v>
      </c>
      <c r="N95" s="3">
        <f t="shared" si="10"/>
        <v>11</v>
      </c>
      <c r="O95" s="3">
        <f t="shared" si="11"/>
        <v>2</v>
      </c>
    </row>
    <row r="96" spans="1:15" x14ac:dyDescent="0.2">
      <c r="A96" s="2">
        <v>43873</v>
      </c>
      <c r="B96" s="3">
        <v>24857</v>
      </c>
      <c r="C96" s="3">
        <v>24720</v>
      </c>
      <c r="D96" s="3">
        <v>24890</v>
      </c>
      <c r="E96" s="3">
        <v>24720</v>
      </c>
      <c r="F96" s="3">
        <v>16300</v>
      </c>
      <c r="G96" s="7">
        <f t="shared" si="17"/>
        <v>1</v>
      </c>
      <c r="H96" s="5">
        <f t="shared" si="12"/>
        <v>7.4167139499067844E-3</v>
      </c>
      <c r="I96" s="4">
        <f t="shared" si="13"/>
        <v>4.6738467791099369E-3</v>
      </c>
      <c r="J96" s="4">
        <f t="shared" si="14"/>
        <v>5.6565656565656566E-3</v>
      </c>
      <c r="K96" s="4">
        <f t="shared" si="15"/>
        <v>8.1566068515497546E-3</v>
      </c>
      <c r="L96" s="4">
        <f t="shared" si="16"/>
        <v>-6.8038879359634083E-2</v>
      </c>
      <c r="M96" s="3">
        <f t="shared" si="9"/>
        <v>2</v>
      </c>
      <c r="N96" s="3">
        <f t="shared" si="10"/>
        <v>12</v>
      </c>
      <c r="O96" s="3">
        <f t="shared" si="11"/>
        <v>3</v>
      </c>
    </row>
    <row r="97" spans="1:15" x14ac:dyDescent="0.2">
      <c r="A97" s="2">
        <v>43874</v>
      </c>
      <c r="B97" s="3">
        <v>24887</v>
      </c>
      <c r="C97" s="3">
        <v>24770</v>
      </c>
      <c r="D97" s="3">
        <v>24915</v>
      </c>
      <c r="E97" s="3">
        <v>24565</v>
      </c>
      <c r="F97" s="3">
        <v>23520</v>
      </c>
      <c r="G97" s="7">
        <f t="shared" si="17"/>
        <v>1</v>
      </c>
      <c r="H97" s="5">
        <f t="shared" si="12"/>
        <v>1.2069034879510802E-3</v>
      </c>
      <c r="I97" s="4">
        <f t="shared" si="13"/>
        <v>2.0226537216828477E-3</v>
      </c>
      <c r="J97" s="4">
        <f t="shared" si="14"/>
        <v>1.004419445560466E-3</v>
      </c>
      <c r="K97" s="4">
        <f t="shared" si="15"/>
        <v>-6.2702265372168286E-3</v>
      </c>
      <c r="L97" s="4">
        <f t="shared" si="16"/>
        <v>0.44294478527607362</v>
      </c>
      <c r="M97" s="3">
        <f t="shared" si="9"/>
        <v>2</v>
      </c>
      <c r="N97" s="3">
        <f t="shared" si="10"/>
        <v>13</v>
      </c>
      <c r="O97" s="3">
        <f t="shared" si="11"/>
        <v>4</v>
      </c>
    </row>
    <row r="98" spans="1:15" x14ac:dyDescent="0.2">
      <c r="A98" s="2">
        <v>43875</v>
      </c>
      <c r="B98" s="3">
        <v>24852</v>
      </c>
      <c r="C98" s="3">
        <v>24920</v>
      </c>
      <c r="D98" s="3">
        <v>24970</v>
      </c>
      <c r="E98" s="3">
        <v>24815</v>
      </c>
      <c r="F98" s="3">
        <v>13650</v>
      </c>
      <c r="G98" s="7">
        <f t="shared" si="17"/>
        <v>0</v>
      </c>
      <c r="H98" s="5">
        <f t="shared" si="12"/>
        <v>-1.4063567324305863E-3</v>
      </c>
      <c r="I98" s="4">
        <f t="shared" si="13"/>
        <v>6.0557125555106986E-3</v>
      </c>
      <c r="J98" s="4">
        <f t="shared" si="14"/>
        <v>2.2075055187637969E-3</v>
      </c>
      <c r="K98" s="4">
        <f t="shared" si="15"/>
        <v>1.0177081213108081E-2</v>
      </c>
      <c r="L98" s="4">
        <f t="shared" si="16"/>
        <v>-0.41964285714285715</v>
      </c>
      <c r="M98" s="3">
        <f t="shared" si="9"/>
        <v>2</v>
      </c>
      <c r="N98" s="3">
        <f t="shared" si="10"/>
        <v>14</v>
      </c>
      <c r="O98" s="3">
        <f t="shared" si="11"/>
        <v>5</v>
      </c>
    </row>
    <row r="99" spans="1:15" x14ac:dyDescent="0.2">
      <c r="A99" s="2">
        <v>43878</v>
      </c>
      <c r="B99" s="3">
        <v>25097</v>
      </c>
      <c r="C99" s="3">
        <v>24920</v>
      </c>
      <c r="D99" s="3">
        <v>25110</v>
      </c>
      <c r="E99" s="3">
        <v>24880</v>
      </c>
      <c r="F99" s="3">
        <v>11580</v>
      </c>
      <c r="G99" s="7">
        <f t="shared" si="17"/>
        <v>1</v>
      </c>
      <c r="H99" s="5">
        <f t="shared" si="12"/>
        <v>9.8583615000804765E-3</v>
      </c>
      <c r="I99" s="4">
        <f t="shared" si="13"/>
        <v>0</v>
      </c>
      <c r="J99" s="4">
        <f t="shared" si="14"/>
        <v>5.6067280736884261E-3</v>
      </c>
      <c r="K99" s="4">
        <f t="shared" si="15"/>
        <v>2.6193834374370339E-3</v>
      </c>
      <c r="L99" s="4">
        <f t="shared" si="16"/>
        <v>-0.15164835164835164</v>
      </c>
      <c r="M99" s="3">
        <f t="shared" si="9"/>
        <v>2</v>
      </c>
      <c r="N99" s="3">
        <f t="shared" si="10"/>
        <v>17</v>
      </c>
      <c r="O99" s="3">
        <f t="shared" si="11"/>
        <v>1</v>
      </c>
    </row>
    <row r="100" spans="1:15" x14ac:dyDescent="0.2">
      <c r="A100" s="2">
        <v>43879</v>
      </c>
      <c r="B100" s="3">
        <v>25208</v>
      </c>
      <c r="C100" s="3">
        <v>25060</v>
      </c>
      <c r="D100" s="3">
        <v>25385</v>
      </c>
      <c r="E100" s="3">
        <v>25010</v>
      </c>
      <c r="F100" s="3">
        <v>24100</v>
      </c>
      <c r="G100" s="7">
        <f t="shared" si="17"/>
        <v>1</v>
      </c>
      <c r="H100" s="5">
        <f t="shared" si="12"/>
        <v>4.4228393831932103E-3</v>
      </c>
      <c r="I100" s="4">
        <f t="shared" si="13"/>
        <v>5.6179775280898875E-3</v>
      </c>
      <c r="J100" s="4">
        <f t="shared" si="14"/>
        <v>1.0951812027080845E-2</v>
      </c>
      <c r="K100" s="4">
        <f t="shared" si="15"/>
        <v>5.2250803858520899E-3</v>
      </c>
      <c r="L100" s="4">
        <f t="shared" si="16"/>
        <v>1.081174438687392</v>
      </c>
      <c r="M100" s="3">
        <f t="shared" si="9"/>
        <v>2</v>
      </c>
      <c r="N100" s="3">
        <f t="shared" si="10"/>
        <v>18</v>
      </c>
      <c r="O100" s="3">
        <f t="shared" si="11"/>
        <v>2</v>
      </c>
    </row>
    <row r="101" spans="1:15" x14ac:dyDescent="0.2">
      <c r="A101" s="2">
        <v>43880</v>
      </c>
      <c r="B101" s="3">
        <v>25465</v>
      </c>
      <c r="C101" s="3">
        <v>25320</v>
      </c>
      <c r="D101" s="3">
        <v>25490</v>
      </c>
      <c r="E101" s="3">
        <v>25265</v>
      </c>
      <c r="F101" s="3">
        <v>19920</v>
      </c>
      <c r="G101" s="7">
        <f t="shared" si="17"/>
        <v>1</v>
      </c>
      <c r="H101" s="5">
        <f t="shared" si="12"/>
        <v>1.0195176134560457E-2</v>
      </c>
      <c r="I101" s="4">
        <f t="shared" si="13"/>
        <v>1.0375099760574621E-2</v>
      </c>
      <c r="J101" s="4">
        <f t="shared" si="14"/>
        <v>4.1363009651368922E-3</v>
      </c>
      <c r="K101" s="4">
        <f t="shared" si="15"/>
        <v>1.0195921631347461E-2</v>
      </c>
      <c r="L101" s="4">
        <f t="shared" si="16"/>
        <v>-0.17344398340248962</v>
      </c>
      <c r="M101" s="3">
        <f t="shared" si="9"/>
        <v>2</v>
      </c>
      <c r="N101" s="3">
        <f t="shared" si="10"/>
        <v>19</v>
      </c>
      <c r="O101" s="3">
        <f t="shared" si="11"/>
        <v>3</v>
      </c>
    </row>
    <row r="102" spans="1:15" x14ac:dyDescent="0.2">
      <c r="A102" s="2">
        <v>43881</v>
      </c>
      <c r="B102" s="3">
        <v>25075</v>
      </c>
      <c r="C102" s="3">
        <v>25415</v>
      </c>
      <c r="D102" s="3">
        <v>25455</v>
      </c>
      <c r="E102" s="3">
        <v>25030</v>
      </c>
      <c r="F102" s="3">
        <v>23790</v>
      </c>
      <c r="G102" s="7">
        <f t="shared" si="17"/>
        <v>0</v>
      </c>
      <c r="H102" s="5">
        <f t="shared" si="12"/>
        <v>-1.5315138425289613E-2</v>
      </c>
      <c r="I102" s="4">
        <f t="shared" si="13"/>
        <v>3.7519747235387046E-3</v>
      </c>
      <c r="J102" s="4">
        <f t="shared" si="14"/>
        <v>-1.3730874852883484E-3</v>
      </c>
      <c r="K102" s="4">
        <f t="shared" si="15"/>
        <v>-9.3014051058776959E-3</v>
      </c>
      <c r="L102" s="4">
        <f t="shared" si="16"/>
        <v>0.19427710843373494</v>
      </c>
      <c r="M102" s="3">
        <f t="shared" si="9"/>
        <v>2</v>
      </c>
      <c r="N102" s="3">
        <f t="shared" si="10"/>
        <v>20</v>
      </c>
      <c r="O102" s="3">
        <f t="shared" si="11"/>
        <v>4</v>
      </c>
    </row>
    <row r="103" spans="1:15" x14ac:dyDescent="0.2">
      <c r="A103" s="2">
        <v>43882</v>
      </c>
      <c r="B103" s="3">
        <v>24751</v>
      </c>
      <c r="C103" s="3">
        <v>24990</v>
      </c>
      <c r="D103" s="3">
        <v>25120</v>
      </c>
      <c r="E103" s="3">
        <v>24650</v>
      </c>
      <c r="F103" s="3">
        <v>35350</v>
      </c>
      <c r="G103" s="7">
        <f t="shared" si="17"/>
        <v>0</v>
      </c>
      <c r="H103" s="5">
        <f t="shared" si="12"/>
        <v>-1.292123629112662E-2</v>
      </c>
      <c r="I103" s="4">
        <f t="shared" si="13"/>
        <v>-1.6722408026755852E-2</v>
      </c>
      <c r="J103" s="4">
        <f t="shared" si="14"/>
        <v>-1.3160479277155765E-2</v>
      </c>
      <c r="K103" s="4">
        <f t="shared" si="15"/>
        <v>-1.5181781861765881E-2</v>
      </c>
      <c r="L103" s="4">
        <f t="shared" si="16"/>
        <v>0.4859184531315679</v>
      </c>
      <c r="M103" s="3">
        <f t="shared" si="9"/>
        <v>2</v>
      </c>
      <c r="N103" s="3">
        <f t="shared" si="10"/>
        <v>21</v>
      </c>
      <c r="O103" s="3">
        <f t="shared" si="11"/>
        <v>5</v>
      </c>
    </row>
    <row r="104" spans="1:15" x14ac:dyDescent="0.2">
      <c r="A104" s="2">
        <v>43885</v>
      </c>
      <c r="B104" s="3">
        <v>23473</v>
      </c>
      <c r="C104" s="3">
        <v>24020</v>
      </c>
      <c r="D104" s="3">
        <v>24035</v>
      </c>
      <c r="E104" s="3">
        <v>23240</v>
      </c>
      <c r="F104" s="3">
        <v>71390</v>
      </c>
      <c r="G104" s="7">
        <f t="shared" si="17"/>
        <v>0</v>
      </c>
      <c r="H104" s="5">
        <f t="shared" si="12"/>
        <v>-5.1634277402933214E-2</v>
      </c>
      <c r="I104" s="4">
        <f t="shared" si="13"/>
        <v>-3.8815526210484196E-2</v>
      </c>
      <c r="J104" s="4">
        <f t="shared" si="14"/>
        <v>-4.3192675159235666E-2</v>
      </c>
      <c r="K104" s="4">
        <f t="shared" si="15"/>
        <v>-5.7200811359026368E-2</v>
      </c>
      <c r="L104" s="4">
        <f t="shared" si="16"/>
        <v>1.0195190947666195</v>
      </c>
      <c r="M104" s="3">
        <f t="shared" si="9"/>
        <v>2</v>
      </c>
      <c r="N104" s="3">
        <f t="shared" si="10"/>
        <v>24</v>
      </c>
      <c r="O104" s="3">
        <f t="shared" si="11"/>
        <v>1</v>
      </c>
    </row>
    <row r="105" spans="1:15" x14ac:dyDescent="0.2">
      <c r="A105" s="2">
        <v>43886</v>
      </c>
      <c r="B105" s="3">
        <v>23100</v>
      </c>
      <c r="C105" s="3">
        <v>23675</v>
      </c>
      <c r="D105" s="3">
        <v>23700</v>
      </c>
      <c r="E105" s="3">
        <v>23030</v>
      </c>
      <c r="F105" s="3">
        <v>55570</v>
      </c>
      <c r="G105" s="7">
        <f t="shared" si="17"/>
        <v>0</v>
      </c>
      <c r="H105" s="5">
        <f t="shared" si="12"/>
        <v>-1.5890597708004942E-2</v>
      </c>
      <c r="I105" s="4">
        <f t="shared" si="13"/>
        <v>-1.4363030807660283E-2</v>
      </c>
      <c r="J105" s="4">
        <f t="shared" si="14"/>
        <v>-1.3938007073018515E-2</v>
      </c>
      <c r="K105" s="4">
        <f t="shared" si="15"/>
        <v>-9.0361445783132526E-3</v>
      </c>
      <c r="L105" s="4">
        <f t="shared" si="16"/>
        <v>-0.22159966381846197</v>
      </c>
      <c r="M105" s="3">
        <f t="shared" si="9"/>
        <v>2</v>
      </c>
      <c r="N105" s="3">
        <f t="shared" si="10"/>
        <v>25</v>
      </c>
      <c r="O105" s="3">
        <f t="shared" si="11"/>
        <v>2</v>
      </c>
    </row>
    <row r="106" spans="1:15" x14ac:dyDescent="0.2">
      <c r="A106" s="2">
        <v>43887</v>
      </c>
      <c r="B106" s="3">
        <v>23367</v>
      </c>
      <c r="C106" s="3">
        <v>22850</v>
      </c>
      <c r="D106" s="3">
        <v>23585</v>
      </c>
      <c r="E106" s="3">
        <v>22625</v>
      </c>
      <c r="F106" s="3">
        <v>70410</v>
      </c>
      <c r="G106" s="7">
        <f t="shared" si="17"/>
        <v>1</v>
      </c>
      <c r="H106" s="5">
        <f t="shared" si="12"/>
        <v>1.1558441558441558E-2</v>
      </c>
      <c r="I106" s="4">
        <f t="shared" si="13"/>
        <v>-3.4846884899683211E-2</v>
      </c>
      <c r="J106" s="4">
        <f t="shared" si="14"/>
        <v>-4.8523206751054856E-3</v>
      </c>
      <c r="K106" s="4">
        <f t="shared" si="15"/>
        <v>-1.7585757707338254E-2</v>
      </c>
      <c r="L106" s="4">
        <f t="shared" si="16"/>
        <v>0.2670505668526183</v>
      </c>
      <c r="M106" s="3">
        <f t="shared" si="9"/>
        <v>2</v>
      </c>
      <c r="N106" s="3">
        <f t="shared" si="10"/>
        <v>26</v>
      </c>
      <c r="O106" s="3">
        <f t="shared" si="11"/>
        <v>3</v>
      </c>
    </row>
    <row r="107" spans="1:15" x14ac:dyDescent="0.2">
      <c r="A107" s="2">
        <v>43888</v>
      </c>
      <c r="B107" s="3">
        <v>22813</v>
      </c>
      <c r="C107" s="3">
        <v>22950</v>
      </c>
      <c r="D107" s="3">
        <v>23080</v>
      </c>
      <c r="E107" s="3">
        <v>22460</v>
      </c>
      <c r="F107" s="3">
        <v>74570</v>
      </c>
      <c r="G107" s="7">
        <f t="shared" si="17"/>
        <v>0</v>
      </c>
      <c r="H107" s="5">
        <f t="shared" si="12"/>
        <v>-2.3708648949373048E-2</v>
      </c>
      <c r="I107" s="4">
        <f t="shared" si="13"/>
        <v>4.3763676148796497E-3</v>
      </c>
      <c r="J107" s="4">
        <f t="shared" si="14"/>
        <v>-2.141191435234259E-2</v>
      </c>
      <c r="K107" s="4">
        <f t="shared" si="15"/>
        <v>-7.2928176795580115E-3</v>
      </c>
      <c r="L107" s="4">
        <f t="shared" si="16"/>
        <v>5.908251668797046E-2</v>
      </c>
      <c r="M107" s="3">
        <f t="shared" si="9"/>
        <v>2</v>
      </c>
      <c r="N107" s="3">
        <f t="shared" si="10"/>
        <v>27</v>
      </c>
      <c r="O107" s="3">
        <f t="shared" si="11"/>
        <v>4</v>
      </c>
    </row>
    <row r="108" spans="1:15" x14ac:dyDescent="0.2">
      <c r="A108" s="2">
        <v>43889</v>
      </c>
      <c r="B108" s="3">
        <v>22026</v>
      </c>
      <c r="C108" s="3">
        <v>21980</v>
      </c>
      <c r="D108" s="3">
        <v>22330</v>
      </c>
      <c r="E108" s="3">
        <v>21685</v>
      </c>
      <c r="F108" s="3">
        <v>86880</v>
      </c>
      <c r="G108" s="7">
        <f t="shared" si="17"/>
        <v>0</v>
      </c>
      <c r="H108" s="5">
        <f t="shared" si="12"/>
        <v>-3.4497874019199577E-2</v>
      </c>
      <c r="I108" s="4">
        <f t="shared" si="13"/>
        <v>-4.2265795206971678E-2</v>
      </c>
      <c r="J108" s="4">
        <f t="shared" si="14"/>
        <v>-3.2495667244367421E-2</v>
      </c>
      <c r="K108" s="4">
        <f t="shared" si="15"/>
        <v>-3.4505788067675867E-2</v>
      </c>
      <c r="L108" s="4">
        <f t="shared" si="16"/>
        <v>0.16507979080059004</v>
      </c>
      <c r="M108" s="3">
        <f t="shared" si="9"/>
        <v>2</v>
      </c>
      <c r="N108" s="3">
        <f t="shared" si="10"/>
        <v>28</v>
      </c>
      <c r="O108" s="3">
        <f t="shared" si="11"/>
        <v>5</v>
      </c>
    </row>
    <row r="109" spans="1:15" x14ac:dyDescent="0.2">
      <c r="A109" s="2">
        <v>43892</v>
      </c>
      <c r="B109" s="3">
        <v>21673</v>
      </c>
      <c r="C109" s="3">
        <v>22290</v>
      </c>
      <c r="D109" s="3">
        <v>22400</v>
      </c>
      <c r="E109" s="3">
        <v>21035</v>
      </c>
      <c r="F109" s="3">
        <v>76830</v>
      </c>
      <c r="G109" s="7">
        <f t="shared" si="17"/>
        <v>0</v>
      </c>
      <c r="H109" s="5">
        <f t="shared" si="12"/>
        <v>-1.6026514119676746E-2</v>
      </c>
      <c r="I109" s="4">
        <f t="shared" si="13"/>
        <v>1.4103730664240218E-2</v>
      </c>
      <c r="J109" s="4">
        <f t="shared" si="14"/>
        <v>3.134796238244514E-3</v>
      </c>
      <c r="K109" s="4">
        <f t="shared" si="15"/>
        <v>-2.9974636845745906E-2</v>
      </c>
      <c r="L109" s="4">
        <f t="shared" si="16"/>
        <v>-0.1156767955801105</v>
      </c>
      <c r="M109" s="3">
        <f t="shared" si="9"/>
        <v>3</v>
      </c>
      <c r="N109" s="3">
        <f t="shared" si="10"/>
        <v>2</v>
      </c>
      <c r="O109" s="3">
        <f t="shared" si="11"/>
        <v>1</v>
      </c>
    </row>
    <row r="110" spans="1:15" x14ac:dyDescent="0.2">
      <c r="A110" s="2">
        <v>43893</v>
      </c>
      <c r="B110" s="3">
        <v>21696</v>
      </c>
      <c r="C110" s="3">
        <v>21815</v>
      </c>
      <c r="D110" s="3">
        <v>22325</v>
      </c>
      <c r="E110" s="3">
        <v>21605</v>
      </c>
      <c r="F110" s="3">
        <v>70820</v>
      </c>
      <c r="G110" s="7">
        <f t="shared" si="17"/>
        <v>1</v>
      </c>
      <c r="H110" s="5">
        <f t="shared" si="12"/>
        <v>1.0612282563558343E-3</v>
      </c>
      <c r="I110" s="4">
        <f t="shared" si="13"/>
        <v>-2.1310004486316734E-2</v>
      </c>
      <c r="J110" s="4">
        <f t="shared" si="14"/>
        <v>-3.3482142857142855E-3</v>
      </c>
      <c r="K110" s="4">
        <f t="shared" si="15"/>
        <v>2.7097694318992158E-2</v>
      </c>
      <c r="L110" s="4">
        <f t="shared" si="16"/>
        <v>-7.8224651828712743E-2</v>
      </c>
      <c r="M110" s="3">
        <f t="shared" si="9"/>
        <v>3</v>
      </c>
      <c r="N110" s="3">
        <f t="shared" si="10"/>
        <v>3</v>
      </c>
      <c r="O110" s="3">
        <f t="shared" si="11"/>
        <v>2</v>
      </c>
    </row>
    <row r="111" spans="1:15" x14ac:dyDescent="0.2">
      <c r="A111" s="2">
        <v>43894</v>
      </c>
      <c r="B111" s="3">
        <v>21897</v>
      </c>
      <c r="C111" s="3">
        <v>21675</v>
      </c>
      <c r="D111" s="3">
        <v>22200</v>
      </c>
      <c r="E111" s="3">
        <v>21485</v>
      </c>
      <c r="F111" s="3">
        <v>50850</v>
      </c>
      <c r="G111" s="7">
        <f t="shared" si="17"/>
        <v>1</v>
      </c>
      <c r="H111" s="5">
        <f t="shared" si="12"/>
        <v>9.2643805309734518E-3</v>
      </c>
      <c r="I111" s="4">
        <f t="shared" si="13"/>
        <v>-6.4176025670410267E-3</v>
      </c>
      <c r="J111" s="4">
        <f t="shared" si="14"/>
        <v>-5.5991041433370659E-3</v>
      </c>
      <c r="K111" s="4">
        <f t="shared" si="15"/>
        <v>-5.5542698449432999E-3</v>
      </c>
      <c r="L111" s="4">
        <f t="shared" si="16"/>
        <v>-0.28198249082180177</v>
      </c>
      <c r="M111" s="3">
        <f t="shared" si="9"/>
        <v>3</v>
      </c>
      <c r="N111" s="3">
        <f t="shared" si="10"/>
        <v>4</v>
      </c>
      <c r="O111" s="3">
        <f t="shared" si="11"/>
        <v>3</v>
      </c>
    </row>
    <row r="112" spans="1:15" x14ac:dyDescent="0.2">
      <c r="A112" s="2">
        <v>43895</v>
      </c>
      <c r="B112" s="3">
        <v>21571</v>
      </c>
      <c r="C112" s="3">
        <v>22055</v>
      </c>
      <c r="D112" s="3">
        <v>22100</v>
      </c>
      <c r="E112" s="3">
        <v>21350</v>
      </c>
      <c r="F112" s="3">
        <v>48750</v>
      </c>
      <c r="G112" s="7">
        <f t="shared" si="17"/>
        <v>0</v>
      </c>
      <c r="H112" s="5">
        <f t="shared" si="12"/>
        <v>-1.488788418504818E-2</v>
      </c>
      <c r="I112" s="4">
        <f t="shared" si="13"/>
        <v>1.7531718569780853E-2</v>
      </c>
      <c r="J112" s="4">
        <f t="shared" si="14"/>
        <v>-4.5045045045045045E-3</v>
      </c>
      <c r="K112" s="4">
        <f t="shared" si="15"/>
        <v>-6.2834535722597158E-3</v>
      </c>
      <c r="L112" s="4">
        <f t="shared" si="16"/>
        <v>-4.1297935103244837E-2</v>
      </c>
      <c r="M112" s="3">
        <f t="shared" si="9"/>
        <v>3</v>
      </c>
      <c r="N112" s="3">
        <f t="shared" si="10"/>
        <v>5</v>
      </c>
      <c r="O112" s="3">
        <f t="shared" si="11"/>
        <v>4</v>
      </c>
    </row>
    <row r="113" spans="1:15" x14ac:dyDescent="0.2">
      <c r="A113" s="2">
        <v>43896</v>
      </c>
      <c r="B113" s="3">
        <v>20844</v>
      </c>
      <c r="C113" s="3">
        <v>21065</v>
      </c>
      <c r="D113" s="3">
        <v>21140</v>
      </c>
      <c r="E113" s="3">
        <v>20610</v>
      </c>
      <c r="F113" s="3">
        <v>59670</v>
      </c>
      <c r="G113" s="7">
        <f t="shared" si="17"/>
        <v>0</v>
      </c>
      <c r="H113" s="5">
        <f t="shared" si="12"/>
        <v>-3.3702656344165777E-2</v>
      </c>
      <c r="I113" s="4">
        <f t="shared" si="13"/>
        <v>-4.488778054862843E-2</v>
      </c>
      <c r="J113" s="4">
        <f t="shared" si="14"/>
        <v>-4.343891402714932E-2</v>
      </c>
      <c r="K113" s="4">
        <f t="shared" si="15"/>
        <v>-3.4660421545667446E-2</v>
      </c>
      <c r="L113" s="4">
        <f t="shared" si="16"/>
        <v>0.224</v>
      </c>
      <c r="M113" s="3">
        <f t="shared" si="9"/>
        <v>3</v>
      </c>
      <c r="N113" s="3">
        <f t="shared" si="10"/>
        <v>6</v>
      </c>
      <c r="O113" s="3">
        <f t="shared" si="11"/>
        <v>5</v>
      </c>
    </row>
    <row r="114" spans="1:15" x14ac:dyDescent="0.2">
      <c r="A114" s="2">
        <v>43899</v>
      </c>
      <c r="B114" s="3">
        <v>18542</v>
      </c>
      <c r="C114" s="3">
        <v>19070</v>
      </c>
      <c r="D114" s="3">
        <v>19120</v>
      </c>
      <c r="E114" s="3">
        <v>18240</v>
      </c>
      <c r="F114" s="3">
        <v>79300</v>
      </c>
      <c r="G114" s="7">
        <f t="shared" si="17"/>
        <v>0</v>
      </c>
      <c r="H114" s="5">
        <f t="shared" si="12"/>
        <v>-0.1104394549990405</v>
      </c>
      <c r="I114" s="4">
        <f t="shared" si="13"/>
        <v>-9.4706859719914549E-2</v>
      </c>
      <c r="J114" s="4">
        <f t="shared" si="14"/>
        <v>-9.5553453169347213E-2</v>
      </c>
      <c r="K114" s="4">
        <f t="shared" si="15"/>
        <v>-0.11499272197962154</v>
      </c>
      <c r="L114" s="4">
        <f t="shared" si="16"/>
        <v>0.32897603485838778</v>
      </c>
      <c r="M114" s="3">
        <f t="shared" si="9"/>
        <v>3</v>
      </c>
      <c r="N114" s="3">
        <f t="shared" si="10"/>
        <v>9</v>
      </c>
      <c r="O114" s="3">
        <f t="shared" si="11"/>
        <v>1</v>
      </c>
    </row>
    <row r="115" spans="1:15" x14ac:dyDescent="0.2">
      <c r="A115" s="2">
        <v>43900</v>
      </c>
      <c r="B115" s="3">
        <v>17883</v>
      </c>
      <c r="C115" s="3">
        <v>18455</v>
      </c>
      <c r="D115" s="3">
        <v>19165</v>
      </c>
      <c r="E115" s="3">
        <v>17710</v>
      </c>
      <c r="F115" s="3">
        <v>94520</v>
      </c>
      <c r="G115" s="7">
        <f t="shared" si="17"/>
        <v>0</v>
      </c>
      <c r="H115" s="5">
        <f t="shared" si="12"/>
        <v>-3.5540934095566822E-2</v>
      </c>
      <c r="I115" s="4">
        <f t="shared" si="13"/>
        <v>-3.2249606712113264E-2</v>
      </c>
      <c r="J115" s="4">
        <f t="shared" si="14"/>
        <v>2.3535564853556486E-3</v>
      </c>
      <c r="K115" s="4">
        <f t="shared" si="15"/>
        <v>-2.9057017543859649E-2</v>
      </c>
      <c r="L115" s="4">
        <f t="shared" si="16"/>
        <v>0.19192938209331653</v>
      </c>
      <c r="M115" s="3">
        <f t="shared" si="9"/>
        <v>3</v>
      </c>
      <c r="N115" s="3">
        <f t="shared" si="10"/>
        <v>10</v>
      </c>
      <c r="O115" s="3">
        <f t="shared" si="11"/>
        <v>2</v>
      </c>
    </row>
    <row r="116" spans="1:15" x14ac:dyDescent="0.2">
      <c r="A116" s="2">
        <v>43901</v>
      </c>
      <c r="B116" s="3">
        <v>17887</v>
      </c>
      <c r="C116" s="3">
        <v>17815</v>
      </c>
      <c r="D116" s="3">
        <v>18400</v>
      </c>
      <c r="E116" s="3">
        <v>17445</v>
      </c>
      <c r="F116" s="3">
        <v>86990</v>
      </c>
      <c r="G116" s="7">
        <f t="shared" si="17"/>
        <v>1</v>
      </c>
      <c r="H116" s="5">
        <f t="shared" si="12"/>
        <v>2.2367611698260919E-4</v>
      </c>
      <c r="I116" s="4">
        <f t="shared" si="13"/>
        <v>-3.4678948794364672E-2</v>
      </c>
      <c r="J116" s="4">
        <f t="shared" si="14"/>
        <v>-3.9916514479519959E-2</v>
      </c>
      <c r="K116" s="4">
        <f t="shared" si="15"/>
        <v>-1.4963297571993224E-2</v>
      </c>
      <c r="L116" s="4">
        <f t="shared" si="16"/>
        <v>-7.966567922132882E-2</v>
      </c>
      <c r="M116" s="3">
        <f t="shared" si="9"/>
        <v>3</v>
      </c>
      <c r="N116" s="3">
        <f t="shared" si="10"/>
        <v>11</v>
      </c>
      <c r="O116" s="3">
        <f t="shared" si="11"/>
        <v>3</v>
      </c>
    </row>
    <row r="117" spans="1:15" x14ac:dyDescent="0.2">
      <c r="A117" s="2">
        <v>43902</v>
      </c>
      <c r="B117" s="3">
        <v>15105</v>
      </c>
      <c r="C117" s="3">
        <v>16850</v>
      </c>
      <c r="D117" s="3">
        <v>17155</v>
      </c>
      <c r="E117" s="3">
        <v>14750</v>
      </c>
      <c r="F117" s="3">
        <v>99150</v>
      </c>
      <c r="G117" s="7">
        <f t="shared" si="17"/>
        <v>0</v>
      </c>
      <c r="H117" s="5">
        <f t="shared" si="12"/>
        <v>-0.15553195057863253</v>
      </c>
      <c r="I117" s="4">
        <f t="shared" si="13"/>
        <v>-5.4167836093179905E-2</v>
      </c>
      <c r="J117" s="4">
        <f t="shared" si="14"/>
        <v>-6.7663043478260868E-2</v>
      </c>
      <c r="K117" s="4">
        <f t="shared" si="15"/>
        <v>-0.15448552593866438</v>
      </c>
      <c r="L117" s="4">
        <f t="shared" si="16"/>
        <v>0.13978618231980688</v>
      </c>
      <c r="M117" s="3">
        <f t="shared" si="9"/>
        <v>3</v>
      </c>
      <c r="N117" s="3">
        <f t="shared" si="10"/>
        <v>12</v>
      </c>
      <c r="O117" s="3">
        <f t="shared" si="11"/>
        <v>4</v>
      </c>
    </row>
    <row r="118" spans="1:15" x14ac:dyDescent="0.2">
      <c r="A118" s="2">
        <v>43903</v>
      </c>
      <c r="B118" s="3">
        <v>15889</v>
      </c>
      <c r="C118" s="3">
        <v>15260</v>
      </c>
      <c r="D118" s="3">
        <v>17705</v>
      </c>
      <c r="E118" s="3">
        <v>15035</v>
      </c>
      <c r="F118" s="3">
        <v>113940</v>
      </c>
      <c r="G118" s="7">
        <f t="shared" si="17"/>
        <v>1</v>
      </c>
      <c r="H118" s="5">
        <f t="shared" si="12"/>
        <v>5.1903343263819929E-2</v>
      </c>
      <c r="I118" s="4">
        <f t="shared" si="13"/>
        <v>-9.4362017804154305E-2</v>
      </c>
      <c r="J118" s="4">
        <f t="shared" si="14"/>
        <v>3.2060623724861556E-2</v>
      </c>
      <c r="K118" s="4">
        <f t="shared" si="15"/>
        <v>1.9322033898305085E-2</v>
      </c>
      <c r="L118" s="4">
        <f t="shared" si="16"/>
        <v>0.14916792738275339</v>
      </c>
      <c r="M118" s="3">
        <f t="shared" si="9"/>
        <v>3</v>
      </c>
      <c r="N118" s="3">
        <f t="shared" si="10"/>
        <v>13</v>
      </c>
      <c r="O118" s="3">
        <f t="shared" si="11"/>
        <v>5</v>
      </c>
    </row>
    <row r="119" spans="1:15" x14ac:dyDescent="0.2">
      <c r="A119" s="2">
        <v>43906</v>
      </c>
      <c r="B119" s="3">
        <v>15009</v>
      </c>
      <c r="C119" s="3">
        <v>15180</v>
      </c>
      <c r="D119" s="3">
        <v>15530</v>
      </c>
      <c r="E119" s="3">
        <v>14045</v>
      </c>
      <c r="F119" s="3">
        <v>87240</v>
      </c>
      <c r="G119" s="7">
        <f t="shared" si="17"/>
        <v>0</v>
      </c>
      <c r="H119" s="5">
        <f t="shared" si="12"/>
        <v>-5.5384228082321102E-2</v>
      </c>
      <c r="I119" s="4">
        <f t="shared" si="13"/>
        <v>-5.2424639580602884E-3</v>
      </c>
      <c r="J119" s="4">
        <f t="shared" si="14"/>
        <v>-0.12284665348771534</v>
      </c>
      <c r="K119" s="4">
        <f t="shared" si="15"/>
        <v>-6.5846358496840701E-2</v>
      </c>
      <c r="L119" s="4">
        <f t="shared" si="16"/>
        <v>-0.23433385992627698</v>
      </c>
      <c r="M119" s="3">
        <f t="shared" si="9"/>
        <v>3</v>
      </c>
      <c r="N119" s="3">
        <f t="shared" si="10"/>
        <v>16</v>
      </c>
      <c r="O119" s="3">
        <f t="shared" si="11"/>
        <v>1</v>
      </c>
    </row>
    <row r="120" spans="1:15" x14ac:dyDescent="0.2">
      <c r="A120" s="2">
        <v>43907</v>
      </c>
      <c r="B120" s="3">
        <v>15361</v>
      </c>
      <c r="C120" s="3">
        <v>15455</v>
      </c>
      <c r="D120" s="3">
        <v>15850</v>
      </c>
      <c r="E120" s="3">
        <v>14575</v>
      </c>
      <c r="F120" s="3">
        <v>81820</v>
      </c>
      <c r="G120" s="7">
        <f t="shared" si="17"/>
        <v>1</v>
      </c>
      <c r="H120" s="5">
        <f t="shared" si="12"/>
        <v>2.3452595109600904E-2</v>
      </c>
      <c r="I120" s="4">
        <f t="shared" si="13"/>
        <v>1.8115942028985508E-2</v>
      </c>
      <c r="J120" s="4">
        <f t="shared" si="14"/>
        <v>2.06052801030264E-2</v>
      </c>
      <c r="K120" s="4">
        <f t="shared" si="15"/>
        <v>3.7735849056603772E-2</v>
      </c>
      <c r="L120" s="4">
        <f t="shared" si="16"/>
        <v>-6.2127464465841359E-2</v>
      </c>
      <c r="M120" s="3">
        <f t="shared" si="9"/>
        <v>3</v>
      </c>
      <c r="N120" s="3">
        <f t="shared" si="10"/>
        <v>17</v>
      </c>
      <c r="O120" s="3">
        <f t="shared" si="11"/>
        <v>2</v>
      </c>
    </row>
    <row r="121" spans="1:15" x14ac:dyDescent="0.2">
      <c r="A121" s="2">
        <v>43908</v>
      </c>
      <c r="B121" s="3">
        <v>15189</v>
      </c>
      <c r="C121" s="3">
        <v>14935</v>
      </c>
      <c r="D121" s="3">
        <v>15490</v>
      </c>
      <c r="E121" s="3">
        <v>14770</v>
      </c>
      <c r="F121" s="3">
        <v>50640</v>
      </c>
      <c r="G121" s="7">
        <f t="shared" si="17"/>
        <v>0</v>
      </c>
      <c r="H121" s="5">
        <f t="shared" si="12"/>
        <v>-1.1197187683093548E-2</v>
      </c>
      <c r="I121" s="4">
        <f t="shared" si="13"/>
        <v>-3.3646069233257844E-2</v>
      </c>
      <c r="J121" s="4">
        <f t="shared" si="14"/>
        <v>-2.2712933753943218E-2</v>
      </c>
      <c r="K121" s="4">
        <f t="shared" si="15"/>
        <v>1.3379073756432247E-2</v>
      </c>
      <c r="L121" s="4">
        <f t="shared" si="16"/>
        <v>-0.38108042043510143</v>
      </c>
      <c r="M121" s="3">
        <f t="shared" si="9"/>
        <v>3</v>
      </c>
      <c r="N121" s="3">
        <f t="shared" si="10"/>
        <v>18</v>
      </c>
      <c r="O121" s="3">
        <f t="shared" si="11"/>
        <v>3</v>
      </c>
    </row>
    <row r="122" spans="1:15" x14ac:dyDescent="0.2">
      <c r="A122" s="2">
        <v>43909</v>
      </c>
      <c r="B122" s="3">
        <v>15446</v>
      </c>
      <c r="C122" s="3">
        <v>15325</v>
      </c>
      <c r="D122" s="3">
        <v>15860</v>
      </c>
      <c r="E122" s="3">
        <v>14995</v>
      </c>
      <c r="F122" s="3">
        <v>33290</v>
      </c>
      <c r="G122" s="7">
        <f t="shared" si="17"/>
        <v>1</v>
      </c>
      <c r="H122" s="5">
        <f t="shared" si="12"/>
        <v>1.6920139574692211E-2</v>
      </c>
      <c r="I122" s="4">
        <f t="shared" si="13"/>
        <v>2.6113157013726147E-2</v>
      </c>
      <c r="J122" s="4">
        <f t="shared" si="14"/>
        <v>2.3886378308586184E-2</v>
      </c>
      <c r="K122" s="4">
        <f t="shared" si="15"/>
        <v>1.5233581584292485E-2</v>
      </c>
      <c r="L122" s="4">
        <f t="shared" si="16"/>
        <v>-0.34261453396524488</v>
      </c>
      <c r="M122" s="3">
        <f t="shared" si="9"/>
        <v>3</v>
      </c>
      <c r="N122" s="3">
        <f t="shared" si="10"/>
        <v>19</v>
      </c>
      <c r="O122" s="3">
        <f t="shared" si="11"/>
        <v>4</v>
      </c>
    </row>
    <row r="123" spans="1:15" x14ac:dyDescent="0.2">
      <c r="A123" s="2">
        <v>43910</v>
      </c>
      <c r="B123" s="3">
        <v>15642</v>
      </c>
      <c r="C123" s="3">
        <v>16100</v>
      </c>
      <c r="D123" s="3">
        <v>16100</v>
      </c>
      <c r="E123" s="3">
        <v>15630</v>
      </c>
      <c r="F123" s="3">
        <v>90</v>
      </c>
      <c r="G123" s="7">
        <f t="shared" si="17"/>
        <v>1</v>
      </c>
      <c r="H123" s="5">
        <f t="shared" si="12"/>
        <v>1.2689369416030041E-2</v>
      </c>
      <c r="I123" s="4">
        <f t="shared" si="13"/>
        <v>5.0570962479608482E-2</v>
      </c>
      <c r="J123" s="4">
        <f t="shared" si="14"/>
        <v>1.5132408575031526E-2</v>
      </c>
      <c r="K123" s="4">
        <f t="shared" si="15"/>
        <v>4.2347449149716575E-2</v>
      </c>
      <c r="L123" s="4">
        <f t="shared" si="16"/>
        <v>-0.99729648543106042</v>
      </c>
      <c r="M123" s="3">
        <f t="shared" si="9"/>
        <v>3</v>
      </c>
      <c r="N123" s="3">
        <f t="shared" si="10"/>
        <v>20</v>
      </c>
      <c r="O123" s="3">
        <f t="shared" si="11"/>
        <v>5</v>
      </c>
    </row>
    <row r="124" spans="1:15" x14ac:dyDescent="0.2">
      <c r="A124" s="2">
        <v>43913</v>
      </c>
      <c r="B124" s="3">
        <v>15242</v>
      </c>
      <c r="C124" s="3">
        <v>14980</v>
      </c>
      <c r="D124" s="3">
        <v>15620</v>
      </c>
      <c r="E124" s="3">
        <v>14595</v>
      </c>
      <c r="F124" s="3">
        <v>34260</v>
      </c>
      <c r="G124" s="7">
        <f t="shared" si="17"/>
        <v>0</v>
      </c>
      <c r="H124" s="5">
        <f t="shared" si="12"/>
        <v>-2.5572177470911648E-2</v>
      </c>
      <c r="I124" s="4">
        <f t="shared" si="13"/>
        <v>-6.9565217391304349E-2</v>
      </c>
      <c r="J124" s="4">
        <f t="shared" si="14"/>
        <v>-2.9813664596273291E-2</v>
      </c>
      <c r="K124" s="4">
        <f t="shared" si="15"/>
        <v>-6.6218809980806148E-2</v>
      </c>
      <c r="L124" s="4">
        <f t="shared" si="16"/>
        <v>379.66666666666669</v>
      </c>
      <c r="M124" s="3">
        <f t="shared" si="9"/>
        <v>3</v>
      </c>
      <c r="N124" s="3">
        <f t="shared" si="10"/>
        <v>23</v>
      </c>
      <c r="O124" s="3">
        <f t="shared" si="11"/>
        <v>1</v>
      </c>
    </row>
    <row r="125" spans="1:15" x14ac:dyDescent="0.2">
      <c r="A125" s="2">
        <v>43914</v>
      </c>
      <c r="B125" s="3">
        <v>16540</v>
      </c>
      <c r="C125" s="3">
        <v>15770</v>
      </c>
      <c r="D125" s="3">
        <v>16980</v>
      </c>
      <c r="E125" s="3">
        <v>15740</v>
      </c>
      <c r="F125" s="3">
        <v>29440</v>
      </c>
      <c r="G125" s="7">
        <f t="shared" si="17"/>
        <v>1</v>
      </c>
      <c r="H125" s="5">
        <f t="shared" si="12"/>
        <v>8.5159427896601497E-2</v>
      </c>
      <c r="I125" s="4">
        <f t="shared" si="13"/>
        <v>5.27369826435247E-2</v>
      </c>
      <c r="J125" s="4">
        <f t="shared" si="14"/>
        <v>8.706786171574904E-2</v>
      </c>
      <c r="K125" s="4">
        <f t="shared" si="15"/>
        <v>7.8451524494689964E-2</v>
      </c>
      <c r="L125" s="4">
        <f t="shared" si="16"/>
        <v>-0.14068884997081144</v>
      </c>
      <c r="M125" s="3">
        <f t="shared" si="9"/>
        <v>3</v>
      </c>
      <c r="N125" s="3">
        <f t="shared" si="10"/>
        <v>24</v>
      </c>
      <c r="O125" s="3">
        <f t="shared" si="11"/>
        <v>2</v>
      </c>
    </row>
    <row r="126" spans="1:15" x14ac:dyDescent="0.2">
      <c r="A126" s="2">
        <v>43915</v>
      </c>
      <c r="B126" s="3">
        <v>16970</v>
      </c>
      <c r="C126" s="3">
        <v>16680</v>
      </c>
      <c r="D126" s="3">
        <v>17510</v>
      </c>
      <c r="E126" s="3">
        <v>16250</v>
      </c>
      <c r="F126" s="3">
        <v>32850</v>
      </c>
      <c r="G126" s="7">
        <f t="shared" si="17"/>
        <v>1</v>
      </c>
      <c r="H126" s="5">
        <f t="shared" si="12"/>
        <v>2.5997581620314389E-2</v>
      </c>
      <c r="I126" s="4">
        <f t="shared" si="13"/>
        <v>5.770450221940393E-2</v>
      </c>
      <c r="J126" s="4">
        <f t="shared" si="14"/>
        <v>3.1213191990577149E-2</v>
      </c>
      <c r="K126" s="4">
        <f t="shared" si="15"/>
        <v>3.2401524777636595E-2</v>
      </c>
      <c r="L126" s="4">
        <f t="shared" si="16"/>
        <v>0.11582880434782608</v>
      </c>
      <c r="M126" s="3">
        <f t="shared" si="9"/>
        <v>3</v>
      </c>
      <c r="N126" s="3">
        <f t="shared" si="10"/>
        <v>25</v>
      </c>
      <c r="O126" s="3">
        <f t="shared" si="11"/>
        <v>3</v>
      </c>
    </row>
    <row r="127" spans="1:15" x14ac:dyDescent="0.2">
      <c r="A127" s="2">
        <v>43916</v>
      </c>
      <c r="B127" s="3">
        <v>17081</v>
      </c>
      <c r="C127" s="3">
        <v>16680</v>
      </c>
      <c r="D127" s="3">
        <v>17295</v>
      </c>
      <c r="E127" s="3">
        <v>16335</v>
      </c>
      <c r="F127" s="3">
        <v>20350</v>
      </c>
      <c r="G127" s="7">
        <f t="shared" si="17"/>
        <v>1</v>
      </c>
      <c r="H127" s="5">
        <f t="shared" si="12"/>
        <v>6.5409546258102533E-3</v>
      </c>
      <c r="I127" s="4">
        <f t="shared" si="13"/>
        <v>0</v>
      </c>
      <c r="J127" s="4">
        <f t="shared" si="14"/>
        <v>-1.2278697886921758E-2</v>
      </c>
      <c r="K127" s="4">
        <f t="shared" si="15"/>
        <v>5.2307692307692307E-3</v>
      </c>
      <c r="L127" s="4">
        <f t="shared" si="16"/>
        <v>-0.38051750380517502</v>
      </c>
      <c r="M127" s="3">
        <f t="shared" si="9"/>
        <v>3</v>
      </c>
      <c r="N127" s="3">
        <f t="shared" si="10"/>
        <v>26</v>
      </c>
      <c r="O127" s="3">
        <f t="shared" si="11"/>
        <v>4</v>
      </c>
    </row>
    <row r="128" spans="1:15" x14ac:dyDescent="0.2">
      <c r="A128" s="2">
        <v>43917</v>
      </c>
      <c r="B128" s="3">
        <v>16553</v>
      </c>
      <c r="C128" s="3">
        <v>17095</v>
      </c>
      <c r="D128" s="3">
        <v>17095</v>
      </c>
      <c r="E128" s="3">
        <v>16300</v>
      </c>
      <c r="F128" s="3">
        <v>17450</v>
      </c>
      <c r="G128" s="7">
        <f t="shared" si="17"/>
        <v>0</v>
      </c>
      <c r="H128" s="5">
        <f t="shared" si="12"/>
        <v>-3.0911539137052867E-2</v>
      </c>
      <c r="I128" s="4">
        <f t="shared" si="13"/>
        <v>2.4880095923261392E-2</v>
      </c>
      <c r="J128" s="4">
        <f t="shared" si="14"/>
        <v>-1.156403584851113E-2</v>
      </c>
      <c r="K128" s="4">
        <f t="shared" si="15"/>
        <v>-2.1426385062748698E-3</v>
      </c>
      <c r="L128" s="4">
        <f t="shared" si="16"/>
        <v>-0.14250614250614252</v>
      </c>
      <c r="M128" s="3">
        <f t="shared" si="9"/>
        <v>3</v>
      </c>
      <c r="N128" s="3">
        <f t="shared" si="10"/>
        <v>27</v>
      </c>
      <c r="O128" s="3">
        <f t="shared" si="11"/>
        <v>5</v>
      </c>
    </row>
    <row r="129" spans="1:15" x14ac:dyDescent="0.2">
      <c r="A129" s="2">
        <v>43920</v>
      </c>
      <c r="B129" s="3">
        <v>16724</v>
      </c>
      <c r="C129" s="3">
        <v>16725</v>
      </c>
      <c r="D129" s="3">
        <v>16795</v>
      </c>
      <c r="E129" s="3">
        <v>16050</v>
      </c>
      <c r="F129" s="3">
        <v>15560</v>
      </c>
      <c r="G129" s="7">
        <f t="shared" si="17"/>
        <v>1</v>
      </c>
      <c r="H129" s="5">
        <f t="shared" si="12"/>
        <v>1.0330453694194407E-2</v>
      </c>
      <c r="I129" s="4">
        <f t="shared" si="13"/>
        <v>-2.1643755484059668E-2</v>
      </c>
      <c r="J129" s="4">
        <f t="shared" si="14"/>
        <v>-1.7548990933021352E-2</v>
      </c>
      <c r="K129" s="4">
        <f t="shared" si="15"/>
        <v>-1.5337423312883436E-2</v>
      </c>
      <c r="L129" s="4">
        <f t="shared" si="16"/>
        <v>-0.10830945558739255</v>
      </c>
      <c r="M129" s="3">
        <f t="shared" si="9"/>
        <v>3</v>
      </c>
      <c r="N129" s="3">
        <f t="shared" si="10"/>
        <v>30</v>
      </c>
      <c r="O129" s="3">
        <f t="shared" si="11"/>
        <v>1</v>
      </c>
    </row>
    <row r="130" spans="1:15" x14ac:dyDescent="0.2">
      <c r="A130" s="2">
        <v>43921</v>
      </c>
      <c r="B130" s="3">
        <v>16924</v>
      </c>
      <c r="C130" s="3">
        <v>16750</v>
      </c>
      <c r="D130" s="3">
        <v>17135</v>
      </c>
      <c r="E130" s="3">
        <v>16505</v>
      </c>
      <c r="F130" s="3">
        <v>17200</v>
      </c>
      <c r="G130" s="7">
        <f t="shared" si="17"/>
        <v>1</v>
      </c>
      <c r="H130" s="5">
        <f t="shared" si="12"/>
        <v>1.195886151638364E-2</v>
      </c>
      <c r="I130" s="4">
        <f t="shared" si="13"/>
        <v>1.4947683109118087E-3</v>
      </c>
      <c r="J130" s="4">
        <f t="shared" si="14"/>
        <v>2.0244120273891039E-2</v>
      </c>
      <c r="K130" s="4">
        <f t="shared" si="15"/>
        <v>2.8348909657320873E-2</v>
      </c>
      <c r="L130" s="4">
        <f t="shared" si="16"/>
        <v>0.10539845758354756</v>
      </c>
      <c r="M130" s="3">
        <f t="shared" ref="M130:M193" si="18">MONTH(A130)</f>
        <v>3</v>
      </c>
      <c r="N130" s="3">
        <f t="shared" ref="N130:N193" si="19">DAY(A130)</f>
        <v>31</v>
      </c>
      <c r="O130" s="3">
        <f t="shared" ref="O130:O193" si="20">WEEKDAY(A130,2)</f>
        <v>2</v>
      </c>
    </row>
    <row r="131" spans="1:15" x14ac:dyDescent="0.2">
      <c r="A131" s="2">
        <v>43922</v>
      </c>
      <c r="B131" s="3">
        <v>16404</v>
      </c>
      <c r="C131" s="3">
        <v>16520</v>
      </c>
      <c r="D131" s="3">
        <v>16685</v>
      </c>
      <c r="E131" s="3">
        <v>16000</v>
      </c>
      <c r="F131" s="3">
        <v>15430</v>
      </c>
      <c r="G131" s="7">
        <f t="shared" si="17"/>
        <v>0</v>
      </c>
      <c r="H131" s="5">
        <f t="shared" ref="H131:H194" si="21">(B131-B130)/B130</f>
        <v>-3.0725596785629875E-2</v>
      </c>
      <c r="I131" s="4">
        <f t="shared" ref="I131:I194" si="22">(C131-C130)/C130</f>
        <v>-1.373134328358209E-2</v>
      </c>
      <c r="J131" s="4">
        <f t="shared" ref="J131:J194" si="23">(D131-D130)/D130</f>
        <v>-2.6262036766851474E-2</v>
      </c>
      <c r="K131" s="4">
        <f t="shared" ref="K131:K194" si="24">(E131-E130)/E130</f>
        <v>-3.0596788851863073E-2</v>
      </c>
      <c r="L131" s="4">
        <f t="shared" ref="L131:L194" si="25">(F131-F130)/F130</f>
        <v>-0.10290697674418604</v>
      </c>
      <c r="M131" s="3">
        <f t="shared" si="18"/>
        <v>4</v>
      </c>
      <c r="N131" s="3">
        <f t="shared" si="19"/>
        <v>1</v>
      </c>
      <c r="O131" s="3">
        <f t="shared" si="20"/>
        <v>3</v>
      </c>
    </row>
    <row r="132" spans="1:15" x14ac:dyDescent="0.2">
      <c r="A132" s="2">
        <v>43923</v>
      </c>
      <c r="B132" s="3">
        <v>16694</v>
      </c>
      <c r="C132" s="3">
        <v>16370</v>
      </c>
      <c r="D132" s="3">
        <v>16800</v>
      </c>
      <c r="E132" s="3">
        <v>16260</v>
      </c>
      <c r="F132" s="3">
        <v>15890</v>
      </c>
      <c r="G132" s="7">
        <f t="shared" ref="G132:G195" si="26">IF(H132&lt;0, 0, 1)</f>
        <v>1</v>
      </c>
      <c r="H132" s="5">
        <f t="shared" si="21"/>
        <v>1.7678614971958058E-2</v>
      </c>
      <c r="I132" s="4">
        <f t="shared" si="22"/>
        <v>-9.0799031476997572E-3</v>
      </c>
      <c r="J132" s="4">
        <f t="shared" si="23"/>
        <v>6.8924183398261915E-3</v>
      </c>
      <c r="K132" s="4">
        <f t="shared" si="24"/>
        <v>1.6250000000000001E-2</v>
      </c>
      <c r="L132" s="4">
        <f t="shared" si="25"/>
        <v>2.9812054439403757E-2</v>
      </c>
      <c r="M132" s="3">
        <f t="shared" si="18"/>
        <v>4</v>
      </c>
      <c r="N132" s="3">
        <f t="shared" si="19"/>
        <v>2</v>
      </c>
      <c r="O132" s="3">
        <f t="shared" si="20"/>
        <v>4</v>
      </c>
    </row>
    <row r="133" spans="1:15" x14ac:dyDescent="0.2">
      <c r="A133" s="2">
        <v>43924</v>
      </c>
      <c r="B133" s="3">
        <v>16324</v>
      </c>
      <c r="C133" s="3">
        <v>16600</v>
      </c>
      <c r="D133" s="3">
        <v>16660</v>
      </c>
      <c r="E133" s="3">
        <v>16000</v>
      </c>
      <c r="F133" s="3">
        <v>12340</v>
      </c>
      <c r="G133" s="7">
        <f t="shared" si="26"/>
        <v>0</v>
      </c>
      <c r="H133" s="5">
        <f t="shared" si="21"/>
        <v>-2.2163651611357374E-2</v>
      </c>
      <c r="I133" s="4">
        <f t="shared" si="22"/>
        <v>1.4050091631032376E-2</v>
      </c>
      <c r="J133" s="4">
        <f t="shared" si="23"/>
        <v>-8.3333333333333332E-3</v>
      </c>
      <c r="K133" s="4">
        <f t="shared" si="24"/>
        <v>-1.5990159901599015E-2</v>
      </c>
      <c r="L133" s="4">
        <f t="shared" si="25"/>
        <v>-0.22341095028319699</v>
      </c>
      <c r="M133" s="3">
        <f t="shared" si="18"/>
        <v>4</v>
      </c>
      <c r="N133" s="3">
        <f t="shared" si="19"/>
        <v>3</v>
      </c>
      <c r="O133" s="3">
        <f t="shared" si="20"/>
        <v>5</v>
      </c>
    </row>
    <row r="134" spans="1:15" x14ac:dyDescent="0.2">
      <c r="A134" s="2">
        <v>43927</v>
      </c>
      <c r="B134" s="3">
        <v>16979</v>
      </c>
      <c r="C134" s="3">
        <v>16835</v>
      </c>
      <c r="D134" s="3">
        <v>17300</v>
      </c>
      <c r="E134" s="3">
        <v>16650</v>
      </c>
      <c r="F134" s="3">
        <v>12270</v>
      </c>
      <c r="G134" s="7">
        <f t="shared" si="26"/>
        <v>1</v>
      </c>
      <c r="H134" s="5">
        <f t="shared" si="21"/>
        <v>4.0124969370252388E-2</v>
      </c>
      <c r="I134" s="4">
        <f t="shared" si="22"/>
        <v>1.4156626506024096E-2</v>
      </c>
      <c r="J134" s="4">
        <f t="shared" si="23"/>
        <v>3.8415366146458581E-2</v>
      </c>
      <c r="K134" s="4">
        <f t="shared" si="24"/>
        <v>4.0625000000000001E-2</v>
      </c>
      <c r="L134" s="4">
        <f t="shared" si="25"/>
        <v>-5.6726094003241492E-3</v>
      </c>
      <c r="M134" s="3">
        <f t="shared" si="18"/>
        <v>4</v>
      </c>
      <c r="N134" s="3">
        <f t="shared" si="19"/>
        <v>6</v>
      </c>
      <c r="O134" s="3">
        <f t="shared" si="20"/>
        <v>1</v>
      </c>
    </row>
    <row r="135" spans="1:15" x14ac:dyDescent="0.2">
      <c r="A135" s="2">
        <v>43928</v>
      </c>
      <c r="B135" s="3">
        <v>17353</v>
      </c>
      <c r="C135" s="3">
        <v>17360</v>
      </c>
      <c r="D135" s="3">
        <v>17820</v>
      </c>
      <c r="E135" s="3">
        <v>17090</v>
      </c>
      <c r="F135" s="3">
        <v>18660</v>
      </c>
      <c r="G135" s="7">
        <f t="shared" si="26"/>
        <v>1</v>
      </c>
      <c r="H135" s="5">
        <f t="shared" si="21"/>
        <v>2.2027210083043761E-2</v>
      </c>
      <c r="I135" s="4">
        <f t="shared" si="22"/>
        <v>3.1185031185031187E-2</v>
      </c>
      <c r="J135" s="4">
        <f t="shared" si="23"/>
        <v>3.0057803468208091E-2</v>
      </c>
      <c r="K135" s="4">
        <f t="shared" si="24"/>
        <v>2.6426426426426425E-2</v>
      </c>
      <c r="L135" s="4">
        <f t="shared" si="25"/>
        <v>0.52078239608801957</v>
      </c>
      <c r="M135" s="3">
        <f t="shared" si="18"/>
        <v>4</v>
      </c>
      <c r="N135" s="3">
        <f t="shared" si="19"/>
        <v>7</v>
      </c>
      <c r="O135" s="3">
        <f t="shared" si="20"/>
        <v>2</v>
      </c>
    </row>
    <row r="136" spans="1:15" x14ac:dyDescent="0.2">
      <c r="A136" s="2">
        <v>43929</v>
      </c>
      <c r="B136" s="3">
        <v>17319</v>
      </c>
      <c r="C136" s="3">
        <v>17330</v>
      </c>
      <c r="D136" s="3">
        <v>17470</v>
      </c>
      <c r="E136" s="3">
        <v>16935</v>
      </c>
      <c r="F136" s="3">
        <v>10920</v>
      </c>
      <c r="G136" s="7">
        <f t="shared" si="26"/>
        <v>0</v>
      </c>
      <c r="H136" s="5">
        <f t="shared" si="21"/>
        <v>-1.9593153921512131E-3</v>
      </c>
      <c r="I136" s="4">
        <f t="shared" si="22"/>
        <v>-1.7281105990783411E-3</v>
      </c>
      <c r="J136" s="4">
        <f t="shared" si="23"/>
        <v>-1.9640852974186308E-2</v>
      </c>
      <c r="K136" s="4">
        <f t="shared" si="24"/>
        <v>-9.0696313633703927E-3</v>
      </c>
      <c r="L136" s="4">
        <f t="shared" si="25"/>
        <v>-0.41479099678456594</v>
      </c>
      <c r="M136" s="3">
        <f t="shared" si="18"/>
        <v>4</v>
      </c>
      <c r="N136" s="3">
        <f t="shared" si="19"/>
        <v>8</v>
      </c>
      <c r="O136" s="3">
        <f t="shared" si="20"/>
        <v>3</v>
      </c>
    </row>
    <row r="137" spans="1:15" x14ac:dyDescent="0.2">
      <c r="A137" s="2">
        <v>43930</v>
      </c>
      <c r="B137" s="3">
        <v>17566</v>
      </c>
      <c r="C137" s="3">
        <v>17495</v>
      </c>
      <c r="D137" s="3">
        <v>17770</v>
      </c>
      <c r="E137" s="3">
        <v>17270</v>
      </c>
      <c r="F137" s="3">
        <v>14010</v>
      </c>
      <c r="G137" s="7">
        <f t="shared" si="26"/>
        <v>1</v>
      </c>
      <c r="H137" s="5">
        <f t="shared" si="21"/>
        <v>1.4261793406085802E-2</v>
      </c>
      <c r="I137" s="4">
        <f t="shared" si="22"/>
        <v>9.5210617426428161E-3</v>
      </c>
      <c r="J137" s="4">
        <f t="shared" si="23"/>
        <v>1.7172295363480253E-2</v>
      </c>
      <c r="K137" s="4">
        <f t="shared" si="24"/>
        <v>1.9781517567168585E-2</v>
      </c>
      <c r="L137" s="4">
        <f t="shared" si="25"/>
        <v>0.28296703296703296</v>
      </c>
      <c r="M137" s="3">
        <f t="shared" si="18"/>
        <v>4</v>
      </c>
      <c r="N137" s="3">
        <f t="shared" si="19"/>
        <v>9</v>
      </c>
      <c r="O137" s="3">
        <f t="shared" si="20"/>
        <v>4</v>
      </c>
    </row>
    <row r="138" spans="1:15" x14ac:dyDescent="0.2">
      <c r="A138" s="2">
        <v>43935</v>
      </c>
      <c r="B138" s="3">
        <v>17491</v>
      </c>
      <c r="C138" s="3">
        <v>17825</v>
      </c>
      <c r="D138" s="3">
        <v>17940</v>
      </c>
      <c r="E138" s="3">
        <v>17420</v>
      </c>
      <c r="F138" s="3">
        <v>12410</v>
      </c>
      <c r="G138" s="7">
        <f t="shared" si="26"/>
        <v>0</v>
      </c>
      <c r="H138" s="5">
        <f t="shared" si="21"/>
        <v>-4.2696117499715358E-3</v>
      </c>
      <c r="I138" s="4">
        <f t="shared" si="22"/>
        <v>1.8862532152043442E-2</v>
      </c>
      <c r="J138" s="4">
        <f t="shared" si="23"/>
        <v>9.5666854248733814E-3</v>
      </c>
      <c r="K138" s="4">
        <f t="shared" si="24"/>
        <v>8.6855819339895779E-3</v>
      </c>
      <c r="L138" s="4">
        <f t="shared" si="25"/>
        <v>-0.11420413990007137</v>
      </c>
      <c r="M138" s="3">
        <f t="shared" si="18"/>
        <v>4</v>
      </c>
      <c r="N138" s="3">
        <f t="shared" si="19"/>
        <v>14</v>
      </c>
      <c r="O138" s="3">
        <f t="shared" si="20"/>
        <v>2</v>
      </c>
    </row>
    <row r="139" spans="1:15" x14ac:dyDescent="0.2">
      <c r="A139" s="2">
        <v>43936</v>
      </c>
      <c r="B139" s="3">
        <v>16636</v>
      </c>
      <c r="C139" s="3">
        <v>17405</v>
      </c>
      <c r="D139" s="3">
        <v>17460</v>
      </c>
      <c r="E139" s="3">
        <v>16530</v>
      </c>
      <c r="F139" s="3">
        <v>15590</v>
      </c>
      <c r="G139" s="7">
        <f t="shared" si="26"/>
        <v>0</v>
      </c>
      <c r="H139" s="5">
        <f t="shared" si="21"/>
        <v>-4.8882282316619979E-2</v>
      </c>
      <c r="I139" s="4">
        <f t="shared" si="22"/>
        <v>-2.356241234221599E-2</v>
      </c>
      <c r="J139" s="4">
        <f t="shared" si="23"/>
        <v>-2.6755852842809364E-2</v>
      </c>
      <c r="K139" s="4">
        <f t="shared" si="24"/>
        <v>-5.1090700344431687E-2</v>
      </c>
      <c r="L139" s="4">
        <f t="shared" si="25"/>
        <v>0.25624496373892025</v>
      </c>
      <c r="M139" s="3">
        <f t="shared" si="18"/>
        <v>4</v>
      </c>
      <c r="N139" s="3">
        <f t="shared" si="19"/>
        <v>15</v>
      </c>
      <c r="O139" s="3">
        <f t="shared" si="20"/>
        <v>3</v>
      </c>
    </row>
    <row r="140" spans="1:15" x14ac:dyDescent="0.2">
      <c r="A140" s="2">
        <v>43937</v>
      </c>
      <c r="B140" s="3">
        <v>16670</v>
      </c>
      <c r="C140" s="3">
        <v>16700</v>
      </c>
      <c r="D140" s="3">
        <v>17070</v>
      </c>
      <c r="E140" s="3">
        <v>16550</v>
      </c>
      <c r="F140" s="3">
        <v>12620</v>
      </c>
      <c r="G140" s="7">
        <f t="shared" si="26"/>
        <v>1</v>
      </c>
      <c r="H140" s="5">
        <f t="shared" si="21"/>
        <v>2.0437605193556144E-3</v>
      </c>
      <c r="I140" s="4">
        <f t="shared" si="22"/>
        <v>-4.050560183855214E-2</v>
      </c>
      <c r="J140" s="4">
        <f t="shared" si="23"/>
        <v>-2.2336769759450172E-2</v>
      </c>
      <c r="K140" s="4">
        <f t="shared" si="24"/>
        <v>1.2099213551119178E-3</v>
      </c>
      <c r="L140" s="4">
        <f t="shared" si="25"/>
        <v>-0.19050673508659396</v>
      </c>
      <c r="M140" s="3">
        <f t="shared" si="18"/>
        <v>4</v>
      </c>
      <c r="N140" s="3">
        <f t="shared" si="19"/>
        <v>16</v>
      </c>
      <c r="O140" s="3">
        <f t="shared" si="20"/>
        <v>4</v>
      </c>
    </row>
    <row r="141" spans="1:15" x14ac:dyDescent="0.2">
      <c r="A141" s="2">
        <v>43938</v>
      </c>
      <c r="B141" s="3">
        <v>16966</v>
      </c>
      <c r="C141" s="3">
        <v>17080</v>
      </c>
      <c r="D141" s="3">
        <v>17235</v>
      </c>
      <c r="E141" s="3">
        <v>16885</v>
      </c>
      <c r="F141" s="3">
        <v>12740</v>
      </c>
      <c r="G141" s="7">
        <f t="shared" si="26"/>
        <v>1</v>
      </c>
      <c r="H141" s="5">
        <f t="shared" si="21"/>
        <v>1.7756448710257947E-2</v>
      </c>
      <c r="I141" s="4">
        <f t="shared" si="22"/>
        <v>2.2754491017964073E-2</v>
      </c>
      <c r="J141" s="4">
        <f t="shared" si="23"/>
        <v>9.6660808435852369E-3</v>
      </c>
      <c r="K141" s="4">
        <f t="shared" si="24"/>
        <v>2.0241691842900301E-2</v>
      </c>
      <c r="L141" s="4">
        <f t="shared" si="25"/>
        <v>9.5087163232963554E-3</v>
      </c>
      <c r="M141" s="3">
        <f t="shared" si="18"/>
        <v>4</v>
      </c>
      <c r="N141" s="3">
        <f t="shared" si="19"/>
        <v>17</v>
      </c>
      <c r="O141" s="3">
        <f t="shared" si="20"/>
        <v>5</v>
      </c>
    </row>
    <row r="142" spans="1:15" x14ac:dyDescent="0.2">
      <c r="A142" s="2">
        <v>43941</v>
      </c>
      <c r="B142" s="3">
        <v>16999</v>
      </c>
      <c r="C142" s="3">
        <v>16990</v>
      </c>
      <c r="D142" s="3">
        <v>17125</v>
      </c>
      <c r="E142" s="3">
        <v>16710</v>
      </c>
      <c r="F142" s="3">
        <v>8330</v>
      </c>
      <c r="G142" s="7">
        <f t="shared" si="26"/>
        <v>1</v>
      </c>
      <c r="H142" s="5">
        <f t="shared" si="21"/>
        <v>1.945066603795827E-3</v>
      </c>
      <c r="I142" s="4">
        <f t="shared" si="22"/>
        <v>-5.2693208430913347E-3</v>
      </c>
      <c r="J142" s="4">
        <f t="shared" si="23"/>
        <v>-6.3823614737452856E-3</v>
      </c>
      <c r="K142" s="4">
        <f t="shared" si="24"/>
        <v>-1.0364228605270951E-2</v>
      </c>
      <c r="L142" s="4">
        <f t="shared" si="25"/>
        <v>-0.34615384615384615</v>
      </c>
      <c r="M142" s="3">
        <f t="shared" si="18"/>
        <v>4</v>
      </c>
      <c r="N142" s="3">
        <f t="shared" si="19"/>
        <v>20</v>
      </c>
      <c r="O142" s="3">
        <f t="shared" si="20"/>
        <v>1</v>
      </c>
    </row>
    <row r="143" spans="1:15" x14ac:dyDescent="0.2">
      <c r="A143" s="2">
        <v>43942</v>
      </c>
      <c r="B143" s="3">
        <v>16372</v>
      </c>
      <c r="C143" s="3">
        <v>16705</v>
      </c>
      <c r="D143" s="3">
        <v>16870</v>
      </c>
      <c r="E143" s="3">
        <v>16350</v>
      </c>
      <c r="F143" s="3">
        <v>13750</v>
      </c>
      <c r="G143" s="7">
        <f t="shared" si="26"/>
        <v>0</v>
      </c>
      <c r="H143" s="5">
        <f t="shared" si="21"/>
        <v>-3.6884522618977587E-2</v>
      </c>
      <c r="I143" s="4">
        <f t="shared" si="22"/>
        <v>-1.6774573278399058E-2</v>
      </c>
      <c r="J143" s="4">
        <f t="shared" si="23"/>
        <v>-1.489051094890511E-2</v>
      </c>
      <c r="K143" s="4">
        <f t="shared" si="24"/>
        <v>-2.1543985637342909E-2</v>
      </c>
      <c r="L143" s="4">
        <f t="shared" si="25"/>
        <v>0.65066026410564226</v>
      </c>
      <c r="M143" s="3">
        <f t="shared" si="18"/>
        <v>4</v>
      </c>
      <c r="N143" s="3">
        <f t="shared" si="19"/>
        <v>21</v>
      </c>
      <c r="O143" s="3">
        <f t="shared" si="20"/>
        <v>2</v>
      </c>
    </row>
    <row r="144" spans="1:15" x14ac:dyDescent="0.2">
      <c r="A144" s="2">
        <v>43943</v>
      </c>
      <c r="B144" s="3">
        <v>16681</v>
      </c>
      <c r="C144" s="3">
        <v>16520</v>
      </c>
      <c r="D144" s="3">
        <v>16720</v>
      </c>
      <c r="E144" s="3">
        <v>16425</v>
      </c>
      <c r="F144" s="3">
        <v>8140.0000000000009</v>
      </c>
      <c r="G144" s="7">
        <f t="shared" si="26"/>
        <v>1</v>
      </c>
      <c r="H144" s="5">
        <f t="shared" si="21"/>
        <v>1.8873686782311262E-2</v>
      </c>
      <c r="I144" s="4">
        <f t="shared" si="22"/>
        <v>-1.1074528584256211E-2</v>
      </c>
      <c r="J144" s="4">
        <f t="shared" si="23"/>
        <v>-8.8915234143449907E-3</v>
      </c>
      <c r="K144" s="4">
        <f t="shared" si="24"/>
        <v>4.5871559633027525E-3</v>
      </c>
      <c r="L144" s="4">
        <f t="shared" si="25"/>
        <v>-0.40799999999999992</v>
      </c>
      <c r="M144" s="3">
        <f t="shared" si="18"/>
        <v>4</v>
      </c>
      <c r="N144" s="3">
        <f t="shared" si="19"/>
        <v>22</v>
      </c>
      <c r="O144" s="3">
        <f t="shared" si="20"/>
        <v>3</v>
      </c>
    </row>
    <row r="145" spans="1:15" x14ac:dyDescent="0.2">
      <c r="A145" s="2">
        <v>43944</v>
      </c>
      <c r="B145" s="3">
        <v>16904</v>
      </c>
      <c r="C145" s="3">
        <v>16760</v>
      </c>
      <c r="D145" s="3">
        <v>17050</v>
      </c>
      <c r="E145" s="3">
        <v>16605</v>
      </c>
      <c r="F145" s="3">
        <v>11930</v>
      </c>
      <c r="G145" s="7">
        <f t="shared" si="26"/>
        <v>1</v>
      </c>
      <c r="H145" s="5">
        <f t="shared" si="21"/>
        <v>1.3368503087344883E-2</v>
      </c>
      <c r="I145" s="4">
        <f t="shared" si="22"/>
        <v>1.4527845036319613E-2</v>
      </c>
      <c r="J145" s="4">
        <f t="shared" si="23"/>
        <v>1.9736842105263157E-2</v>
      </c>
      <c r="K145" s="4">
        <f t="shared" si="24"/>
        <v>1.0958904109589041E-2</v>
      </c>
      <c r="L145" s="4">
        <f t="shared" si="25"/>
        <v>0.46560196560196543</v>
      </c>
      <c r="M145" s="3">
        <f t="shared" si="18"/>
        <v>4</v>
      </c>
      <c r="N145" s="3">
        <f t="shared" si="19"/>
        <v>23</v>
      </c>
      <c r="O145" s="3">
        <f t="shared" si="20"/>
        <v>4</v>
      </c>
    </row>
    <row r="146" spans="1:15" x14ac:dyDescent="0.2">
      <c r="A146" s="2">
        <v>43945</v>
      </c>
      <c r="B146" s="3">
        <v>16740</v>
      </c>
      <c r="C146" s="3">
        <v>16530</v>
      </c>
      <c r="D146" s="3">
        <v>17050</v>
      </c>
      <c r="E146" s="3">
        <v>16515</v>
      </c>
      <c r="F146" s="3">
        <v>8800</v>
      </c>
      <c r="G146" s="7">
        <f t="shared" si="26"/>
        <v>0</v>
      </c>
      <c r="H146" s="5">
        <f t="shared" si="21"/>
        <v>-9.7018457169900617E-3</v>
      </c>
      <c r="I146" s="4">
        <f t="shared" si="22"/>
        <v>-1.3723150357995227E-2</v>
      </c>
      <c r="J146" s="4">
        <f t="shared" si="23"/>
        <v>0</v>
      </c>
      <c r="K146" s="4">
        <f t="shared" si="24"/>
        <v>-5.4200542005420054E-3</v>
      </c>
      <c r="L146" s="4">
        <f t="shared" si="25"/>
        <v>-0.26236378876781224</v>
      </c>
      <c r="M146" s="3">
        <f t="shared" si="18"/>
        <v>4</v>
      </c>
      <c r="N146" s="3">
        <f t="shared" si="19"/>
        <v>24</v>
      </c>
      <c r="O146" s="3">
        <f t="shared" si="20"/>
        <v>5</v>
      </c>
    </row>
    <row r="147" spans="1:15" x14ac:dyDescent="0.2">
      <c r="A147" s="2">
        <v>43948</v>
      </c>
      <c r="B147" s="3">
        <v>17281</v>
      </c>
      <c r="C147" s="3">
        <v>17255</v>
      </c>
      <c r="D147" s="3">
        <v>17330</v>
      </c>
      <c r="E147" s="3">
        <v>17040</v>
      </c>
      <c r="F147" s="3">
        <v>9420</v>
      </c>
      <c r="G147" s="7">
        <f t="shared" si="26"/>
        <v>1</v>
      </c>
      <c r="H147" s="5">
        <f t="shared" si="21"/>
        <v>3.2317801672640381E-2</v>
      </c>
      <c r="I147" s="4">
        <f t="shared" si="22"/>
        <v>4.3859649122807015E-2</v>
      </c>
      <c r="J147" s="4">
        <f t="shared" si="23"/>
        <v>1.6422287390029325E-2</v>
      </c>
      <c r="K147" s="4">
        <f t="shared" si="24"/>
        <v>3.1789282470481378E-2</v>
      </c>
      <c r="L147" s="4">
        <f t="shared" si="25"/>
        <v>7.045454545454545E-2</v>
      </c>
      <c r="M147" s="3">
        <f t="shared" si="18"/>
        <v>4</v>
      </c>
      <c r="N147" s="3">
        <f t="shared" si="19"/>
        <v>27</v>
      </c>
      <c r="O147" s="3">
        <f t="shared" si="20"/>
        <v>1</v>
      </c>
    </row>
    <row r="148" spans="1:15" x14ac:dyDescent="0.2">
      <c r="A148" s="2">
        <v>43949</v>
      </c>
      <c r="B148" s="3">
        <v>17581</v>
      </c>
      <c r="C148" s="3">
        <v>17270</v>
      </c>
      <c r="D148" s="3">
        <v>17840</v>
      </c>
      <c r="E148" s="3">
        <v>17250</v>
      </c>
      <c r="F148" s="3">
        <v>13010</v>
      </c>
      <c r="G148" s="7">
        <f t="shared" si="26"/>
        <v>1</v>
      </c>
      <c r="H148" s="5">
        <f t="shared" si="21"/>
        <v>1.7360106475319714E-2</v>
      </c>
      <c r="I148" s="4">
        <f t="shared" si="22"/>
        <v>8.6931324253839467E-4</v>
      </c>
      <c r="J148" s="4">
        <f t="shared" si="23"/>
        <v>2.9428736295441432E-2</v>
      </c>
      <c r="K148" s="4">
        <f t="shared" si="24"/>
        <v>1.232394366197183E-2</v>
      </c>
      <c r="L148" s="4">
        <f t="shared" si="25"/>
        <v>0.38110403397027603</v>
      </c>
      <c r="M148" s="3">
        <f t="shared" si="18"/>
        <v>4</v>
      </c>
      <c r="N148" s="3">
        <f t="shared" si="19"/>
        <v>28</v>
      </c>
      <c r="O148" s="3">
        <f t="shared" si="20"/>
        <v>2</v>
      </c>
    </row>
    <row r="149" spans="1:15" x14ac:dyDescent="0.2">
      <c r="A149" s="2">
        <v>43950</v>
      </c>
      <c r="B149" s="3">
        <v>17940</v>
      </c>
      <c r="C149" s="3">
        <v>17545</v>
      </c>
      <c r="D149" s="3">
        <v>18010</v>
      </c>
      <c r="E149" s="3">
        <v>17465</v>
      </c>
      <c r="F149" s="3">
        <v>11400</v>
      </c>
      <c r="G149" s="7">
        <f t="shared" si="26"/>
        <v>1</v>
      </c>
      <c r="H149" s="5">
        <f t="shared" si="21"/>
        <v>2.0419771344064617E-2</v>
      </c>
      <c r="I149" s="4">
        <f t="shared" si="22"/>
        <v>1.5923566878980892E-2</v>
      </c>
      <c r="J149" s="4">
        <f t="shared" si="23"/>
        <v>9.52914798206278E-3</v>
      </c>
      <c r="K149" s="4">
        <f t="shared" si="24"/>
        <v>1.2463768115942029E-2</v>
      </c>
      <c r="L149" s="4">
        <f t="shared" si="25"/>
        <v>-0.12375096079938509</v>
      </c>
      <c r="M149" s="3">
        <f t="shared" si="18"/>
        <v>4</v>
      </c>
      <c r="N149" s="3">
        <f t="shared" si="19"/>
        <v>29</v>
      </c>
      <c r="O149" s="3">
        <f t="shared" si="20"/>
        <v>3</v>
      </c>
    </row>
    <row r="150" spans="1:15" x14ac:dyDescent="0.2">
      <c r="A150" s="2">
        <v>43951</v>
      </c>
      <c r="B150" s="3">
        <v>17561</v>
      </c>
      <c r="C150" s="3">
        <v>18195</v>
      </c>
      <c r="D150" s="3">
        <v>18195</v>
      </c>
      <c r="E150" s="3">
        <v>17385</v>
      </c>
      <c r="F150" s="3">
        <v>14270</v>
      </c>
      <c r="G150" s="7">
        <f t="shared" si="26"/>
        <v>0</v>
      </c>
      <c r="H150" s="5">
        <f t="shared" si="21"/>
        <v>-2.1125975473801562E-2</v>
      </c>
      <c r="I150" s="4">
        <f t="shared" si="22"/>
        <v>3.7047591906526074E-2</v>
      </c>
      <c r="J150" s="4">
        <f t="shared" si="23"/>
        <v>1.0272071071626874E-2</v>
      </c>
      <c r="K150" s="4">
        <f t="shared" si="24"/>
        <v>-4.5805897509304319E-3</v>
      </c>
      <c r="L150" s="4">
        <f t="shared" si="25"/>
        <v>0.25175438596491229</v>
      </c>
      <c r="M150" s="3">
        <f t="shared" si="18"/>
        <v>4</v>
      </c>
      <c r="N150" s="3">
        <f t="shared" si="19"/>
        <v>30</v>
      </c>
      <c r="O150" s="3">
        <f t="shared" si="20"/>
        <v>4</v>
      </c>
    </row>
    <row r="151" spans="1:15" x14ac:dyDescent="0.2">
      <c r="A151" s="2">
        <v>43955</v>
      </c>
      <c r="B151" s="3">
        <v>16917</v>
      </c>
      <c r="C151" s="3">
        <v>17060</v>
      </c>
      <c r="D151" s="3">
        <v>17220</v>
      </c>
      <c r="E151" s="3">
        <v>16890</v>
      </c>
      <c r="F151" s="3">
        <v>14780</v>
      </c>
      <c r="G151" s="7">
        <f t="shared" si="26"/>
        <v>0</v>
      </c>
      <c r="H151" s="5">
        <f t="shared" si="21"/>
        <v>-3.6672171288650988E-2</v>
      </c>
      <c r="I151" s="4">
        <f t="shared" si="22"/>
        <v>-6.237977466336906E-2</v>
      </c>
      <c r="J151" s="4">
        <f t="shared" si="23"/>
        <v>-5.3586150041220117E-2</v>
      </c>
      <c r="K151" s="4">
        <f t="shared" si="24"/>
        <v>-2.8472821397756688E-2</v>
      </c>
      <c r="L151" s="4">
        <f t="shared" si="25"/>
        <v>3.5739313244569026E-2</v>
      </c>
      <c r="M151" s="3">
        <f t="shared" si="18"/>
        <v>5</v>
      </c>
      <c r="N151" s="3">
        <f t="shared" si="19"/>
        <v>4</v>
      </c>
      <c r="O151" s="3">
        <f t="shared" si="20"/>
        <v>1</v>
      </c>
    </row>
    <row r="152" spans="1:15" x14ac:dyDescent="0.2">
      <c r="A152" s="2">
        <v>43956</v>
      </c>
      <c r="B152" s="3">
        <v>17256</v>
      </c>
      <c r="C152" s="3">
        <v>17180</v>
      </c>
      <c r="D152" s="3">
        <v>17285</v>
      </c>
      <c r="E152" s="3">
        <v>16940</v>
      </c>
      <c r="F152" s="3">
        <v>14660</v>
      </c>
      <c r="G152" s="7">
        <f t="shared" si="26"/>
        <v>1</v>
      </c>
      <c r="H152" s="5">
        <f t="shared" si="21"/>
        <v>2.0039014009576167E-2</v>
      </c>
      <c r="I152" s="4">
        <f t="shared" si="22"/>
        <v>7.0339976553341153E-3</v>
      </c>
      <c r="J152" s="4">
        <f t="shared" si="23"/>
        <v>3.7746806039488968E-3</v>
      </c>
      <c r="K152" s="4">
        <f t="shared" si="24"/>
        <v>2.960331557134399E-3</v>
      </c>
      <c r="L152" s="4">
        <f t="shared" si="25"/>
        <v>-8.119079837618403E-3</v>
      </c>
      <c r="M152" s="3">
        <f t="shared" si="18"/>
        <v>5</v>
      </c>
      <c r="N152" s="3">
        <f t="shared" si="19"/>
        <v>5</v>
      </c>
      <c r="O152" s="3">
        <f t="shared" si="20"/>
        <v>2</v>
      </c>
    </row>
    <row r="153" spans="1:15" x14ac:dyDescent="0.2">
      <c r="A153" s="2">
        <v>43957</v>
      </c>
      <c r="B153" s="3">
        <v>17018</v>
      </c>
      <c r="C153" s="3">
        <v>17175</v>
      </c>
      <c r="D153" s="3">
        <v>17365</v>
      </c>
      <c r="E153" s="3">
        <v>16905</v>
      </c>
      <c r="F153" s="3">
        <v>8980</v>
      </c>
      <c r="G153" s="7">
        <f t="shared" si="26"/>
        <v>0</v>
      </c>
      <c r="H153" s="5">
        <f t="shared" si="21"/>
        <v>-1.3792304126101067E-2</v>
      </c>
      <c r="I153" s="4">
        <f t="shared" si="22"/>
        <v>-2.9103608847497089E-4</v>
      </c>
      <c r="J153" s="4">
        <f t="shared" si="23"/>
        <v>4.6282904252241824E-3</v>
      </c>
      <c r="K153" s="4">
        <f t="shared" si="24"/>
        <v>-2.0661157024793389E-3</v>
      </c>
      <c r="L153" s="4">
        <f t="shared" si="25"/>
        <v>-0.38744884038199179</v>
      </c>
      <c r="M153" s="3">
        <f t="shared" si="18"/>
        <v>5</v>
      </c>
      <c r="N153" s="3">
        <f t="shared" si="19"/>
        <v>6</v>
      </c>
      <c r="O153" s="3">
        <f t="shared" si="20"/>
        <v>3</v>
      </c>
    </row>
    <row r="154" spans="1:15" x14ac:dyDescent="0.2">
      <c r="A154" s="2">
        <v>43958</v>
      </c>
      <c r="B154" s="3">
        <v>17107</v>
      </c>
      <c r="C154" s="3">
        <v>17060</v>
      </c>
      <c r="D154" s="3">
        <v>17225</v>
      </c>
      <c r="E154" s="3">
        <v>16955</v>
      </c>
      <c r="F154" s="3">
        <v>10180</v>
      </c>
      <c r="G154" s="7">
        <f t="shared" si="26"/>
        <v>1</v>
      </c>
      <c r="H154" s="5">
        <f t="shared" si="21"/>
        <v>5.2297567281701729E-3</v>
      </c>
      <c r="I154" s="4">
        <f t="shared" si="22"/>
        <v>-6.6957787481804953E-3</v>
      </c>
      <c r="J154" s="4">
        <f t="shared" si="23"/>
        <v>-8.0621940685286497E-3</v>
      </c>
      <c r="K154" s="4">
        <f t="shared" si="24"/>
        <v>2.9577048210588583E-3</v>
      </c>
      <c r="L154" s="4">
        <f t="shared" si="25"/>
        <v>0.133630289532294</v>
      </c>
      <c r="M154" s="3">
        <f t="shared" si="18"/>
        <v>5</v>
      </c>
      <c r="N154" s="3">
        <f t="shared" si="19"/>
        <v>7</v>
      </c>
      <c r="O154" s="3">
        <f t="shared" si="20"/>
        <v>4</v>
      </c>
    </row>
    <row r="155" spans="1:15" x14ac:dyDescent="0.2">
      <c r="A155" s="2">
        <v>43959</v>
      </c>
      <c r="B155" s="3">
        <v>17302</v>
      </c>
      <c r="C155" s="3">
        <v>17255</v>
      </c>
      <c r="D155" s="3">
        <v>17335</v>
      </c>
      <c r="E155" s="3">
        <v>17115</v>
      </c>
      <c r="F155" s="3">
        <v>6500</v>
      </c>
      <c r="G155" s="7">
        <f t="shared" si="26"/>
        <v>1</v>
      </c>
      <c r="H155" s="5">
        <f t="shared" si="21"/>
        <v>1.1398842579061203E-2</v>
      </c>
      <c r="I155" s="4">
        <f t="shared" si="22"/>
        <v>1.1430246189917937E-2</v>
      </c>
      <c r="J155" s="4">
        <f t="shared" si="23"/>
        <v>6.3860667634252537E-3</v>
      </c>
      <c r="K155" s="4">
        <f t="shared" si="24"/>
        <v>9.4367443232084933E-3</v>
      </c>
      <c r="L155" s="4">
        <f t="shared" si="25"/>
        <v>-0.36149312377210219</v>
      </c>
      <c r="M155" s="3">
        <f t="shared" si="18"/>
        <v>5</v>
      </c>
      <c r="N155" s="3">
        <f t="shared" si="19"/>
        <v>8</v>
      </c>
      <c r="O155" s="3">
        <f t="shared" si="20"/>
        <v>5</v>
      </c>
    </row>
    <row r="156" spans="1:15" x14ac:dyDescent="0.2">
      <c r="A156" s="2">
        <v>43962</v>
      </c>
      <c r="B156" s="3">
        <v>17251</v>
      </c>
      <c r="C156" s="3">
        <v>17480</v>
      </c>
      <c r="D156" s="3">
        <v>17545</v>
      </c>
      <c r="E156" s="3">
        <v>17165</v>
      </c>
      <c r="F156" s="3">
        <v>8080</v>
      </c>
      <c r="G156" s="7">
        <f t="shared" si="26"/>
        <v>0</v>
      </c>
      <c r="H156" s="5">
        <f t="shared" si="21"/>
        <v>-2.9476361114322042E-3</v>
      </c>
      <c r="I156" s="4">
        <f t="shared" si="22"/>
        <v>1.3039698638075921E-2</v>
      </c>
      <c r="J156" s="4">
        <f t="shared" si="23"/>
        <v>1.2114219786558985E-2</v>
      </c>
      <c r="K156" s="4">
        <f t="shared" si="24"/>
        <v>2.9214139643587498E-3</v>
      </c>
      <c r="L156" s="4">
        <f t="shared" si="25"/>
        <v>0.24307692307692308</v>
      </c>
      <c r="M156" s="3">
        <f t="shared" si="18"/>
        <v>5</v>
      </c>
      <c r="N156" s="3">
        <f t="shared" si="19"/>
        <v>11</v>
      </c>
      <c r="O156" s="3">
        <f t="shared" si="20"/>
        <v>1</v>
      </c>
    </row>
    <row r="157" spans="1:15" x14ac:dyDescent="0.2">
      <c r="A157" s="2">
        <v>43963</v>
      </c>
      <c r="B157" s="3">
        <v>17417</v>
      </c>
      <c r="C157" s="3">
        <v>17185</v>
      </c>
      <c r="D157" s="3">
        <v>17470</v>
      </c>
      <c r="E157" s="3">
        <v>17165</v>
      </c>
      <c r="F157" s="3">
        <v>7500</v>
      </c>
      <c r="G157" s="7">
        <f t="shared" si="26"/>
        <v>1</v>
      </c>
      <c r="H157" s="5">
        <f t="shared" si="21"/>
        <v>9.6226305721407463E-3</v>
      </c>
      <c r="I157" s="4">
        <f t="shared" si="22"/>
        <v>-1.6876430205949658E-2</v>
      </c>
      <c r="J157" s="4">
        <f t="shared" si="23"/>
        <v>-4.2747221430607012E-3</v>
      </c>
      <c r="K157" s="4">
        <f t="shared" si="24"/>
        <v>0</v>
      </c>
      <c r="L157" s="4">
        <f t="shared" si="25"/>
        <v>-7.1782178217821777E-2</v>
      </c>
      <c r="M157" s="3">
        <f t="shared" si="18"/>
        <v>5</v>
      </c>
      <c r="N157" s="3">
        <f t="shared" si="19"/>
        <v>12</v>
      </c>
      <c r="O157" s="3">
        <f t="shared" si="20"/>
        <v>2</v>
      </c>
    </row>
    <row r="158" spans="1:15" x14ac:dyDescent="0.2">
      <c r="A158" s="2">
        <v>43964</v>
      </c>
      <c r="B158" s="3">
        <v>17054</v>
      </c>
      <c r="C158" s="3">
        <v>17175</v>
      </c>
      <c r="D158" s="3">
        <v>17295</v>
      </c>
      <c r="E158" s="3">
        <v>16880</v>
      </c>
      <c r="F158" s="3">
        <v>11310</v>
      </c>
      <c r="G158" s="7">
        <f t="shared" si="26"/>
        <v>0</v>
      </c>
      <c r="H158" s="5">
        <f t="shared" si="21"/>
        <v>-2.0841706378825285E-2</v>
      </c>
      <c r="I158" s="4">
        <f t="shared" si="22"/>
        <v>-5.8190282222868783E-4</v>
      </c>
      <c r="J158" s="4">
        <f t="shared" si="23"/>
        <v>-1.001717229536348E-2</v>
      </c>
      <c r="K158" s="4">
        <f t="shared" si="24"/>
        <v>-1.6603553743081853E-2</v>
      </c>
      <c r="L158" s="4">
        <f t="shared" si="25"/>
        <v>0.50800000000000001</v>
      </c>
      <c r="M158" s="3">
        <f t="shared" si="18"/>
        <v>5</v>
      </c>
      <c r="N158" s="3">
        <f t="shared" si="19"/>
        <v>13</v>
      </c>
      <c r="O158" s="3">
        <f t="shared" si="20"/>
        <v>3</v>
      </c>
    </row>
    <row r="159" spans="1:15" x14ac:dyDescent="0.2">
      <c r="A159" s="2">
        <v>43965</v>
      </c>
      <c r="B159" s="3">
        <v>16745</v>
      </c>
      <c r="C159" s="3">
        <v>16900</v>
      </c>
      <c r="D159" s="3">
        <v>17040</v>
      </c>
      <c r="E159" s="3">
        <v>16405</v>
      </c>
      <c r="F159" s="3">
        <v>17970</v>
      </c>
      <c r="G159" s="7">
        <f t="shared" si="26"/>
        <v>0</v>
      </c>
      <c r="H159" s="5">
        <f t="shared" si="21"/>
        <v>-1.8118916383253195E-2</v>
      </c>
      <c r="I159" s="4">
        <f t="shared" si="22"/>
        <v>-1.6011644832605532E-2</v>
      </c>
      <c r="J159" s="4">
        <f t="shared" si="23"/>
        <v>-1.4744145706851692E-2</v>
      </c>
      <c r="K159" s="4">
        <f t="shared" si="24"/>
        <v>-2.8139810426540283E-2</v>
      </c>
      <c r="L159" s="4">
        <f t="shared" si="25"/>
        <v>0.58885941644562334</v>
      </c>
      <c r="M159" s="3">
        <f t="shared" si="18"/>
        <v>5</v>
      </c>
      <c r="N159" s="3">
        <f t="shared" si="19"/>
        <v>14</v>
      </c>
      <c r="O159" s="3">
        <f t="shared" si="20"/>
        <v>4</v>
      </c>
    </row>
    <row r="160" spans="1:15" x14ac:dyDescent="0.2">
      <c r="A160" s="2">
        <v>43966</v>
      </c>
      <c r="B160" s="3">
        <v>16710</v>
      </c>
      <c r="C160" s="3">
        <v>16800</v>
      </c>
      <c r="D160" s="3">
        <v>16975</v>
      </c>
      <c r="E160" s="3">
        <v>16645</v>
      </c>
      <c r="F160" s="3">
        <v>11690</v>
      </c>
      <c r="G160" s="7">
        <f t="shared" si="26"/>
        <v>0</v>
      </c>
      <c r="H160" s="5">
        <f t="shared" si="21"/>
        <v>-2.0901761719916393E-3</v>
      </c>
      <c r="I160" s="4">
        <f t="shared" si="22"/>
        <v>-5.9171597633136093E-3</v>
      </c>
      <c r="J160" s="4">
        <f t="shared" si="23"/>
        <v>-3.8145539906103286E-3</v>
      </c>
      <c r="K160" s="4">
        <f t="shared" si="24"/>
        <v>1.462968607131972E-2</v>
      </c>
      <c r="L160" s="4">
        <f t="shared" si="25"/>
        <v>-0.34947134112409572</v>
      </c>
      <c r="M160" s="3">
        <f t="shared" si="18"/>
        <v>5</v>
      </c>
      <c r="N160" s="3">
        <f t="shared" si="19"/>
        <v>15</v>
      </c>
      <c r="O160" s="3">
        <f t="shared" si="20"/>
        <v>5</v>
      </c>
    </row>
    <row r="161" spans="1:15" x14ac:dyDescent="0.2">
      <c r="A161" s="2">
        <v>43969</v>
      </c>
      <c r="B161" s="3">
        <v>17386</v>
      </c>
      <c r="C161" s="3">
        <v>17415</v>
      </c>
      <c r="D161" s="3">
        <v>17520</v>
      </c>
      <c r="E161" s="3">
        <v>16890</v>
      </c>
      <c r="F161" s="3">
        <v>14130</v>
      </c>
      <c r="G161" s="7">
        <f t="shared" si="26"/>
        <v>1</v>
      </c>
      <c r="H161" s="5">
        <f t="shared" si="21"/>
        <v>4.0454817474566127E-2</v>
      </c>
      <c r="I161" s="4">
        <f t="shared" si="22"/>
        <v>3.6607142857142859E-2</v>
      </c>
      <c r="J161" s="4">
        <f t="shared" si="23"/>
        <v>3.2106038291605299E-2</v>
      </c>
      <c r="K161" s="4">
        <f t="shared" si="24"/>
        <v>1.4719134875337939E-2</v>
      </c>
      <c r="L161" s="4">
        <f t="shared" si="25"/>
        <v>0.20872540633019676</v>
      </c>
      <c r="M161" s="3">
        <f t="shared" si="18"/>
        <v>5</v>
      </c>
      <c r="N161" s="3">
        <f t="shared" si="19"/>
        <v>18</v>
      </c>
      <c r="O161" s="3">
        <f t="shared" si="20"/>
        <v>1</v>
      </c>
    </row>
    <row r="162" spans="1:15" x14ac:dyDescent="0.2">
      <c r="A162" s="2">
        <v>43970</v>
      </c>
      <c r="B162" s="3">
        <v>17061</v>
      </c>
      <c r="C162" s="3">
        <v>17425</v>
      </c>
      <c r="D162" s="3">
        <v>17665</v>
      </c>
      <c r="E162" s="3">
        <v>16870</v>
      </c>
      <c r="F162" s="3">
        <v>31930</v>
      </c>
      <c r="G162" s="7">
        <f t="shared" si="26"/>
        <v>0</v>
      </c>
      <c r="H162" s="5">
        <f t="shared" si="21"/>
        <v>-1.8693201426435064E-2</v>
      </c>
      <c r="I162" s="4">
        <f t="shared" si="22"/>
        <v>5.7421762848119441E-4</v>
      </c>
      <c r="J162" s="4">
        <f t="shared" si="23"/>
        <v>8.2762557077625566E-3</v>
      </c>
      <c r="K162" s="4">
        <f t="shared" si="24"/>
        <v>-1.1841326228537595E-3</v>
      </c>
      <c r="L162" s="4">
        <f t="shared" si="25"/>
        <v>1.2597310686482661</v>
      </c>
      <c r="M162" s="3">
        <f t="shared" si="18"/>
        <v>5</v>
      </c>
      <c r="N162" s="3">
        <f t="shared" si="19"/>
        <v>19</v>
      </c>
      <c r="O162" s="3">
        <f t="shared" si="20"/>
        <v>2</v>
      </c>
    </row>
    <row r="163" spans="1:15" x14ac:dyDescent="0.2">
      <c r="A163" s="2">
        <v>43971</v>
      </c>
      <c r="B163" s="3">
        <v>17205</v>
      </c>
      <c r="C163" s="3">
        <v>17135</v>
      </c>
      <c r="D163" s="3">
        <v>17230</v>
      </c>
      <c r="E163" s="3">
        <v>16650</v>
      </c>
      <c r="F163" s="3">
        <v>25390</v>
      </c>
      <c r="G163" s="7">
        <f t="shared" si="26"/>
        <v>1</v>
      </c>
      <c r="H163" s="5">
        <f t="shared" si="21"/>
        <v>8.4403024441709155E-3</v>
      </c>
      <c r="I163" s="4">
        <f t="shared" si="22"/>
        <v>-1.6642754662840747E-2</v>
      </c>
      <c r="J163" s="4">
        <f t="shared" si="23"/>
        <v>-2.4624964619303708E-2</v>
      </c>
      <c r="K163" s="4">
        <f t="shared" si="24"/>
        <v>-1.3040901007705987E-2</v>
      </c>
      <c r="L163" s="4">
        <f t="shared" si="25"/>
        <v>-0.20482305042279988</v>
      </c>
      <c r="M163" s="3">
        <f t="shared" si="18"/>
        <v>5</v>
      </c>
      <c r="N163" s="3">
        <f t="shared" si="19"/>
        <v>20</v>
      </c>
      <c r="O163" s="3">
        <f t="shared" si="20"/>
        <v>3</v>
      </c>
    </row>
    <row r="164" spans="1:15" x14ac:dyDescent="0.2">
      <c r="A164" s="2">
        <v>43972</v>
      </c>
      <c r="B164" s="3">
        <v>17055</v>
      </c>
      <c r="C164" s="3">
        <v>17060</v>
      </c>
      <c r="D164" s="3">
        <v>17270</v>
      </c>
      <c r="E164" s="3">
        <v>16930</v>
      </c>
      <c r="F164" s="3">
        <v>20510</v>
      </c>
      <c r="G164" s="7">
        <f t="shared" si="26"/>
        <v>0</v>
      </c>
      <c r="H164" s="5">
        <f t="shared" si="21"/>
        <v>-8.7183958151700082E-3</v>
      </c>
      <c r="I164" s="4">
        <f t="shared" si="22"/>
        <v>-4.377006127808579E-3</v>
      </c>
      <c r="J164" s="4">
        <f t="shared" si="23"/>
        <v>2.3215322112594312E-3</v>
      </c>
      <c r="K164" s="4">
        <f t="shared" si="24"/>
        <v>1.6816816816816817E-2</v>
      </c>
      <c r="L164" s="4">
        <f t="shared" si="25"/>
        <v>-0.19220165419456478</v>
      </c>
      <c r="M164" s="3">
        <f t="shared" si="18"/>
        <v>5</v>
      </c>
      <c r="N164" s="3">
        <f t="shared" si="19"/>
        <v>21</v>
      </c>
      <c r="O164" s="3">
        <f t="shared" si="20"/>
        <v>4</v>
      </c>
    </row>
    <row r="165" spans="1:15" x14ac:dyDescent="0.2">
      <c r="A165" s="2">
        <v>43973</v>
      </c>
      <c r="B165" s="3">
        <v>17293</v>
      </c>
      <c r="C165" s="3">
        <v>16905</v>
      </c>
      <c r="D165" s="3">
        <v>17370</v>
      </c>
      <c r="E165" s="3">
        <v>16790</v>
      </c>
      <c r="F165" s="3">
        <v>23180</v>
      </c>
      <c r="G165" s="7">
        <f t="shared" si="26"/>
        <v>1</v>
      </c>
      <c r="H165" s="5">
        <f t="shared" si="21"/>
        <v>1.3954851949574906E-2</v>
      </c>
      <c r="I165" s="4">
        <f t="shared" si="22"/>
        <v>-9.0855803048065648E-3</v>
      </c>
      <c r="J165" s="4">
        <f t="shared" si="23"/>
        <v>5.7903879559930514E-3</v>
      </c>
      <c r="K165" s="4">
        <f t="shared" si="24"/>
        <v>-8.2693443591258121E-3</v>
      </c>
      <c r="L165" s="4">
        <f t="shared" si="25"/>
        <v>0.13018039980497317</v>
      </c>
      <c r="M165" s="3">
        <f t="shared" si="18"/>
        <v>5</v>
      </c>
      <c r="N165" s="3">
        <f t="shared" si="19"/>
        <v>22</v>
      </c>
      <c r="O165" s="3">
        <f t="shared" si="20"/>
        <v>5</v>
      </c>
    </row>
    <row r="166" spans="1:15" x14ac:dyDescent="0.2">
      <c r="A166" s="2">
        <v>43976</v>
      </c>
      <c r="B166" s="3">
        <v>17574</v>
      </c>
      <c r="C166" s="3">
        <v>17430</v>
      </c>
      <c r="D166" s="3">
        <v>17595</v>
      </c>
      <c r="E166" s="3">
        <v>17280</v>
      </c>
      <c r="F166" s="3">
        <v>10380</v>
      </c>
      <c r="G166" s="7">
        <f t="shared" si="26"/>
        <v>1</v>
      </c>
      <c r="H166" s="5">
        <f t="shared" si="21"/>
        <v>1.6249349447753428E-2</v>
      </c>
      <c r="I166" s="4">
        <f t="shared" si="22"/>
        <v>3.1055900621118012E-2</v>
      </c>
      <c r="J166" s="4">
        <f t="shared" si="23"/>
        <v>1.2953367875647668E-2</v>
      </c>
      <c r="K166" s="4">
        <f t="shared" si="24"/>
        <v>2.9184038117927337E-2</v>
      </c>
      <c r="L166" s="4">
        <f t="shared" si="25"/>
        <v>-0.55220017256255394</v>
      </c>
      <c r="M166" s="3">
        <f t="shared" si="18"/>
        <v>5</v>
      </c>
      <c r="N166" s="3">
        <f t="shared" si="19"/>
        <v>25</v>
      </c>
      <c r="O166" s="3">
        <f t="shared" si="20"/>
        <v>1</v>
      </c>
    </row>
    <row r="167" spans="1:15" x14ac:dyDescent="0.2">
      <c r="A167" s="2">
        <v>43977</v>
      </c>
      <c r="B167" s="3">
        <v>17833</v>
      </c>
      <c r="C167" s="3">
        <v>17765</v>
      </c>
      <c r="D167" s="3">
        <v>17880</v>
      </c>
      <c r="E167" s="3">
        <v>17675</v>
      </c>
      <c r="F167" s="3">
        <v>21070</v>
      </c>
      <c r="G167" s="7">
        <f t="shared" si="26"/>
        <v>1</v>
      </c>
      <c r="H167" s="5">
        <f t="shared" si="21"/>
        <v>1.4737680664618186E-2</v>
      </c>
      <c r="I167" s="4">
        <f t="shared" si="22"/>
        <v>1.9219736087205966E-2</v>
      </c>
      <c r="J167" s="4">
        <f t="shared" si="23"/>
        <v>1.619778346121057E-2</v>
      </c>
      <c r="K167" s="4">
        <f t="shared" si="24"/>
        <v>2.2858796296296297E-2</v>
      </c>
      <c r="L167" s="4">
        <f t="shared" si="25"/>
        <v>1.0298651252408477</v>
      </c>
      <c r="M167" s="3">
        <f t="shared" si="18"/>
        <v>5</v>
      </c>
      <c r="N167" s="3">
        <f t="shared" si="19"/>
        <v>26</v>
      </c>
      <c r="O167" s="3">
        <f t="shared" si="20"/>
        <v>2</v>
      </c>
    </row>
    <row r="168" spans="1:15" x14ac:dyDescent="0.2">
      <c r="A168" s="2">
        <v>43978</v>
      </c>
      <c r="B168" s="3">
        <v>17872</v>
      </c>
      <c r="C168" s="3">
        <v>17920</v>
      </c>
      <c r="D168" s="3">
        <v>18220</v>
      </c>
      <c r="E168" s="3">
        <v>17715</v>
      </c>
      <c r="F168" s="3">
        <v>35930</v>
      </c>
      <c r="G168" s="7">
        <f t="shared" si="26"/>
        <v>1</v>
      </c>
      <c r="H168" s="5">
        <f t="shared" si="21"/>
        <v>2.1869567655470198E-3</v>
      </c>
      <c r="I168" s="4">
        <f t="shared" si="22"/>
        <v>8.7250211089220375E-3</v>
      </c>
      <c r="J168" s="4">
        <f t="shared" si="23"/>
        <v>1.901565995525727E-2</v>
      </c>
      <c r="K168" s="4">
        <f t="shared" si="24"/>
        <v>2.263083451202263E-3</v>
      </c>
      <c r="L168" s="4">
        <f t="shared" si="25"/>
        <v>0.70526815377313712</v>
      </c>
      <c r="M168" s="3">
        <f t="shared" si="18"/>
        <v>5</v>
      </c>
      <c r="N168" s="3">
        <f t="shared" si="19"/>
        <v>27</v>
      </c>
      <c r="O168" s="3">
        <f t="shared" si="20"/>
        <v>3</v>
      </c>
    </row>
    <row r="169" spans="1:15" x14ac:dyDescent="0.2">
      <c r="A169" s="2">
        <v>43979</v>
      </c>
      <c r="B169" s="3">
        <v>18327</v>
      </c>
      <c r="C169" s="3">
        <v>18075</v>
      </c>
      <c r="D169" s="3">
        <v>18405</v>
      </c>
      <c r="E169" s="3">
        <v>18030</v>
      </c>
      <c r="F169" s="3">
        <v>25460</v>
      </c>
      <c r="G169" s="7">
        <f t="shared" si="26"/>
        <v>1</v>
      </c>
      <c r="H169" s="5">
        <f t="shared" si="21"/>
        <v>2.5458818263205014E-2</v>
      </c>
      <c r="I169" s="4">
        <f t="shared" si="22"/>
        <v>8.6495535714285719E-3</v>
      </c>
      <c r="J169" s="4">
        <f t="shared" si="23"/>
        <v>1.0153677277716796E-2</v>
      </c>
      <c r="K169" s="4">
        <f t="shared" si="24"/>
        <v>1.7781541066892465E-2</v>
      </c>
      <c r="L169" s="4">
        <f t="shared" si="25"/>
        <v>-0.2913999443362093</v>
      </c>
      <c r="M169" s="3">
        <f t="shared" si="18"/>
        <v>5</v>
      </c>
      <c r="N169" s="3">
        <f t="shared" si="19"/>
        <v>28</v>
      </c>
      <c r="O169" s="3">
        <f t="shared" si="20"/>
        <v>4</v>
      </c>
    </row>
    <row r="170" spans="1:15" x14ac:dyDescent="0.2">
      <c r="A170" s="2">
        <v>43980</v>
      </c>
      <c r="B170" s="3">
        <v>18177</v>
      </c>
      <c r="C170" s="3">
        <v>18185</v>
      </c>
      <c r="D170" s="3">
        <v>18380</v>
      </c>
      <c r="E170" s="3">
        <v>18060</v>
      </c>
      <c r="F170" s="3">
        <v>23220</v>
      </c>
      <c r="G170" s="7">
        <f t="shared" si="26"/>
        <v>0</v>
      </c>
      <c r="H170" s="5">
        <f t="shared" si="21"/>
        <v>-8.1846456048453101E-3</v>
      </c>
      <c r="I170" s="4">
        <f t="shared" si="22"/>
        <v>6.0857538035961273E-3</v>
      </c>
      <c r="J170" s="4">
        <f t="shared" si="23"/>
        <v>-1.3583265417006249E-3</v>
      </c>
      <c r="K170" s="4">
        <f t="shared" si="24"/>
        <v>1.6638935108153079E-3</v>
      </c>
      <c r="L170" s="4">
        <f t="shared" si="25"/>
        <v>-8.7981146897093479E-2</v>
      </c>
      <c r="M170" s="3">
        <f t="shared" si="18"/>
        <v>5</v>
      </c>
      <c r="N170" s="3">
        <f t="shared" si="19"/>
        <v>29</v>
      </c>
      <c r="O170" s="3">
        <f t="shared" si="20"/>
        <v>5</v>
      </c>
    </row>
    <row r="171" spans="1:15" x14ac:dyDescent="0.2">
      <c r="A171" s="2">
        <v>43983</v>
      </c>
      <c r="B171" s="3">
        <v>18499</v>
      </c>
      <c r="C171" s="3">
        <v>18335</v>
      </c>
      <c r="D171" s="3">
        <v>18690</v>
      </c>
      <c r="E171" s="3">
        <v>18215</v>
      </c>
      <c r="F171" s="3">
        <v>17610</v>
      </c>
      <c r="G171" s="7">
        <f t="shared" si="26"/>
        <v>1</v>
      </c>
      <c r="H171" s="5">
        <f t="shared" si="21"/>
        <v>1.7714694394014414E-2</v>
      </c>
      <c r="I171" s="4">
        <f t="shared" si="22"/>
        <v>8.2485565026120429E-3</v>
      </c>
      <c r="J171" s="4">
        <f t="shared" si="23"/>
        <v>1.6866158868335146E-2</v>
      </c>
      <c r="K171" s="4">
        <f t="shared" si="24"/>
        <v>8.5825027685492803E-3</v>
      </c>
      <c r="L171" s="4">
        <f t="shared" si="25"/>
        <v>-0.24160206718346253</v>
      </c>
      <c r="M171" s="3">
        <f t="shared" si="18"/>
        <v>6</v>
      </c>
      <c r="N171" s="3">
        <f t="shared" si="19"/>
        <v>1</v>
      </c>
      <c r="O171" s="3">
        <f t="shared" si="20"/>
        <v>1</v>
      </c>
    </row>
    <row r="172" spans="1:15" x14ac:dyDescent="0.2">
      <c r="A172" s="2">
        <v>43984</v>
      </c>
      <c r="B172" s="3">
        <v>18963</v>
      </c>
      <c r="C172" s="3">
        <v>18645</v>
      </c>
      <c r="D172" s="3">
        <v>19050</v>
      </c>
      <c r="E172" s="3">
        <v>18550</v>
      </c>
      <c r="F172" s="3">
        <v>22930</v>
      </c>
      <c r="G172" s="7">
        <f t="shared" si="26"/>
        <v>1</v>
      </c>
      <c r="H172" s="5">
        <f t="shared" si="21"/>
        <v>2.5082436888480459E-2</v>
      </c>
      <c r="I172" s="4">
        <f t="shared" si="22"/>
        <v>1.6907553858740116E-2</v>
      </c>
      <c r="J172" s="4">
        <f t="shared" si="23"/>
        <v>1.9261637239165328E-2</v>
      </c>
      <c r="K172" s="4">
        <f t="shared" si="24"/>
        <v>1.8391435629975295E-2</v>
      </c>
      <c r="L172" s="4">
        <f t="shared" si="25"/>
        <v>0.30210107893242477</v>
      </c>
      <c r="M172" s="3">
        <f t="shared" si="18"/>
        <v>6</v>
      </c>
      <c r="N172" s="3">
        <f t="shared" si="19"/>
        <v>2</v>
      </c>
      <c r="O172" s="3">
        <f t="shared" si="20"/>
        <v>2</v>
      </c>
    </row>
    <row r="173" spans="1:15" x14ac:dyDescent="0.2">
      <c r="A173" s="2">
        <v>43985</v>
      </c>
      <c r="B173" s="3">
        <v>19640</v>
      </c>
      <c r="C173" s="3">
        <v>19145</v>
      </c>
      <c r="D173" s="3">
        <v>19900</v>
      </c>
      <c r="E173" s="3">
        <v>19145</v>
      </c>
      <c r="F173" s="3">
        <v>26600</v>
      </c>
      <c r="G173" s="7">
        <f t="shared" si="26"/>
        <v>1</v>
      </c>
      <c r="H173" s="5">
        <f t="shared" si="21"/>
        <v>3.5701102146284872E-2</v>
      </c>
      <c r="I173" s="4">
        <f t="shared" si="22"/>
        <v>2.6816840976133013E-2</v>
      </c>
      <c r="J173" s="4">
        <f t="shared" si="23"/>
        <v>4.4619422572178477E-2</v>
      </c>
      <c r="K173" s="4">
        <f t="shared" si="24"/>
        <v>3.2075471698113207E-2</v>
      </c>
      <c r="L173" s="4">
        <f t="shared" si="25"/>
        <v>0.16005233318796336</v>
      </c>
      <c r="M173" s="3">
        <f t="shared" si="18"/>
        <v>6</v>
      </c>
      <c r="N173" s="3">
        <f t="shared" si="19"/>
        <v>3</v>
      </c>
      <c r="O173" s="3">
        <f t="shared" si="20"/>
        <v>3</v>
      </c>
    </row>
    <row r="174" spans="1:15" x14ac:dyDescent="0.2">
      <c r="A174" s="2">
        <v>43986</v>
      </c>
      <c r="B174" s="3">
        <v>19631</v>
      </c>
      <c r="C174" s="3">
        <v>19555</v>
      </c>
      <c r="D174" s="3">
        <v>19845</v>
      </c>
      <c r="E174" s="3">
        <v>19380</v>
      </c>
      <c r="F174" s="3">
        <v>27450</v>
      </c>
      <c r="G174" s="7">
        <f t="shared" si="26"/>
        <v>0</v>
      </c>
      <c r="H174" s="5">
        <f t="shared" si="21"/>
        <v>-4.5824847250509166E-4</v>
      </c>
      <c r="I174" s="4">
        <f t="shared" si="22"/>
        <v>2.1415513188822146E-2</v>
      </c>
      <c r="J174" s="4">
        <f t="shared" si="23"/>
        <v>-2.7638190954773871E-3</v>
      </c>
      <c r="K174" s="4">
        <f t="shared" si="24"/>
        <v>1.227474536432489E-2</v>
      </c>
      <c r="L174" s="4">
        <f t="shared" si="25"/>
        <v>3.1954887218045111E-2</v>
      </c>
      <c r="M174" s="3">
        <f t="shared" si="18"/>
        <v>6</v>
      </c>
      <c r="N174" s="3">
        <f t="shared" si="19"/>
        <v>4</v>
      </c>
      <c r="O174" s="3">
        <f t="shared" si="20"/>
        <v>4</v>
      </c>
    </row>
    <row r="175" spans="1:15" x14ac:dyDescent="0.2">
      <c r="A175" s="2">
        <v>43987</v>
      </c>
      <c r="B175" s="3">
        <v>20190</v>
      </c>
      <c r="C175" s="3">
        <v>19855</v>
      </c>
      <c r="D175" s="3">
        <v>20220</v>
      </c>
      <c r="E175" s="3">
        <v>19825</v>
      </c>
      <c r="F175" s="3">
        <v>27000</v>
      </c>
      <c r="G175" s="7">
        <f t="shared" si="26"/>
        <v>1</v>
      </c>
      <c r="H175" s="5">
        <f t="shared" si="21"/>
        <v>2.8475370587336356E-2</v>
      </c>
      <c r="I175" s="4">
        <f t="shared" si="22"/>
        <v>1.5341344924571721E-2</v>
      </c>
      <c r="J175" s="4">
        <f t="shared" si="23"/>
        <v>1.889644746787604E-2</v>
      </c>
      <c r="K175" s="4">
        <f t="shared" si="24"/>
        <v>2.2961816305469555E-2</v>
      </c>
      <c r="L175" s="4">
        <f t="shared" si="25"/>
        <v>-1.6393442622950821E-2</v>
      </c>
      <c r="M175" s="3">
        <f t="shared" si="18"/>
        <v>6</v>
      </c>
      <c r="N175" s="3">
        <f t="shared" si="19"/>
        <v>5</v>
      </c>
      <c r="O175" s="3">
        <f t="shared" si="20"/>
        <v>5</v>
      </c>
    </row>
    <row r="176" spans="1:15" x14ac:dyDescent="0.2">
      <c r="A176" s="2">
        <v>43990</v>
      </c>
      <c r="B176" s="3">
        <v>20228</v>
      </c>
      <c r="C176" s="3">
        <v>20205</v>
      </c>
      <c r="D176" s="3">
        <v>20395</v>
      </c>
      <c r="E176" s="3">
        <v>20030</v>
      </c>
      <c r="F176" s="3">
        <v>19290</v>
      </c>
      <c r="G176" s="7">
        <f t="shared" si="26"/>
        <v>1</v>
      </c>
      <c r="H176" s="5">
        <f t="shared" si="21"/>
        <v>1.8821198613174839E-3</v>
      </c>
      <c r="I176" s="4">
        <f t="shared" si="22"/>
        <v>1.7627801561319566E-2</v>
      </c>
      <c r="J176" s="4">
        <f t="shared" si="23"/>
        <v>8.6547972304648856E-3</v>
      </c>
      <c r="K176" s="4">
        <f t="shared" si="24"/>
        <v>1.034047919293821E-2</v>
      </c>
      <c r="L176" s="4">
        <f t="shared" si="25"/>
        <v>-0.28555555555555556</v>
      </c>
      <c r="M176" s="3">
        <f t="shared" si="18"/>
        <v>6</v>
      </c>
      <c r="N176" s="3">
        <f t="shared" si="19"/>
        <v>8</v>
      </c>
      <c r="O176" s="3">
        <f t="shared" si="20"/>
        <v>1</v>
      </c>
    </row>
    <row r="177" spans="1:15" x14ac:dyDescent="0.2">
      <c r="A177" s="2">
        <v>43991</v>
      </c>
      <c r="B177" s="3">
        <v>19918</v>
      </c>
      <c r="C177" s="3">
        <v>20355</v>
      </c>
      <c r="D177" s="3">
        <v>20355</v>
      </c>
      <c r="E177" s="3">
        <v>19665</v>
      </c>
      <c r="F177" s="3">
        <v>26080</v>
      </c>
      <c r="G177" s="7">
        <f t="shared" si="26"/>
        <v>0</v>
      </c>
      <c r="H177" s="5">
        <f t="shared" si="21"/>
        <v>-1.5325291674906072E-2</v>
      </c>
      <c r="I177" s="4">
        <f t="shared" si="22"/>
        <v>7.4239049740163323E-3</v>
      </c>
      <c r="J177" s="4">
        <f t="shared" si="23"/>
        <v>-1.9612650159352781E-3</v>
      </c>
      <c r="K177" s="4">
        <f t="shared" si="24"/>
        <v>-1.8222666000998502E-2</v>
      </c>
      <c r="L177" s="4">
        <f t="shared" si="25"/>
        <v>0.35199585277345774</v>
      </c>
      <c r="M177" s="3">
        <f t="shared" si="18"/>
        <v>6</v>
      </c>
      <c r="N177" s="3">
        <f t="shared" si="19"/>
        <v>9</v>
      </c>
      <c r="O177" s="3">
        <f t="shared" si="20"/>
        <v>2</v>
      </c>
    </row>
    <row r="178" spans="1:15" x14ac:dyDescent="0.2">
      <c r="A178" s="2">
        <v>43992</v>
      </c>
      <c r="B178" s="3">
        <v>19770</v>
      </c>
      <c r="C178" s="3">
        <v>20075</v>
      </c>
      <c r="D178" s="3">
        <v>20180</v>
      </c>
      <c r="E178" s="3">
        <v>19650</v>
      </c>
      <c r="F178" s="3">
        <v>21750</v>
      </c>
      <c r="G178" s="7">
        <f t="shared" si="26"/>
        <v>0</v>
      </c>
      <c r="H178" s="5">
        <f t="shared" si="21"/>
        <v>-7.4304649061150722E-3</v>
      </c>
      <c r="I178" s="4">
        <f t="shared" si="22"/>
        <v>-1.3755833947433063E-2</v>
      </c>
      <c r="J178" s="4">
        <f t="shared" si="23"/>
        <v>-8.5973962171456645E-3</v>
      </c>
      <c r="K178" s="4">
        <f t="shared" si="24"/>
        <v>-7.6277650648360034E-4</v>
      </c>
      <c r="L178" s="4">
        <f t="shared" si="25"/>
        <v>-0.1660276073619632</v>
      </c>
      <c r="M178" s="3">
        <f t="shared" si="18"/>
        <v>6</v>
      </c>
      <c r="N178" s="3">
        <f t="shared" si="19"/>
        <v>10</v>
      </c>
      <c r="O178" s="3">
        <f t="shared" si="20"/>
        <v>3</v>
      </c>
    </row>
    <row r="179" spans="1:15" x14ac:dyDescent="0.2">
      <c r="A179" s="2">
        <v>43993</v>
      </c>
      <c r="B179" s="3">
        <v>18805</v>
      </c>
      <c r="C179" s="3">
        <v>19390</v>
      </c>
      <c r="D179" s="3">
        <v>19400</v>
      </c>
      <c r="E179" s="3">
        <v>18440</v>
      </c>
      <c r="F179" s="3">
        <v>32480</v>
      </c>
      <c r="G179" s="7">
        <f t="shared" si="26"/>
        <v>0</v>
      </c>
      <c r="H179" s="5">
        <f t="shared" si="21"/>
        <v>-4.8811330298431967E-2</v>
      </c>
      <c r="I179" s="4">
        <f t="shared" si="22"/>
        <v>-3.4122042341220425E-2</v>
      </c>
      <c r="J179" s="4">
        <f t="shared" si="23"/>
        <v>-3.865213082259663E-2</v>
      </c>
      <c r="K179" s="4">
        <f t="shared" si="24"/>
        <v>-6.1577608142493641E-2</v>
      </c>
      <c r="L179" s="4">
        <f t="shared" si="25"/>
        <v>0.49333333333333335</v>
      </c>
      <c r="M179" s="3">
        <f t="shared" si="18"/>
        <v>6</v>
      </c>
      <c r="N179" s="3">
        <f t="shared" si="19"/>
        <v>11</v>
      </c>
      <c r="O179" s="3">
        <f t="shared" si="20"/>
        <v>4</v>
      </c>
    </row>
    <row r="180" spans="1:15" x14ac:dyDescent="0.2">
      <c r="A180" s="2">
        <v>43994</v>
      </c>
      <c r="B180" s="3">
        <v>18865</v>
      </c>
      <c r="C180" s="3">
        <v>18740</v>
      </c>
      <c r="D180" s="3">
        <v>19160</v>
      </c>
      <c r="E180" s="3">
        <v>18540</v>
      </c>
      <c r="F180" s="3">
        <v>27770</v>
      </c>
      <c r="G180" s="7">
        <f t="shared" si="26"/>
        <v>1</v>
      </c>
      <c r="H180" s="5">
        <f t="shared" si="21"/>
        <v>3.1906407870247273E-3</v>
      </c>
      <c r="I180" s="4">
        <f t="shared" si="22"/>
        <v>-3.3522434244455904E-2</v>
      </c>
      <c r="J180" s="4">
        <f t="shared" si="23"/>
        <v>-1.2371134020618556E-2</v>
      </c>
      <c r="K180" s="4">
        <f t="shared" si="24"/>
        <v>5.4229934924078091E-3</v>
      </c>
      <c r="L180" s="4">
        <f t="shared" si="25"/>
        <v>-0.14501231527093597</v>
      </c>
      <c r="M180" s="3">
        <f t="shared" si="18"/>
        <v>6</v>
      </c>
      <c r="N180" s="3">
        <f t="shared" si="19"/>
        <v>12</v>
      </c>
      <c r="O180" s="3">
        <f t="shared" si="20"/>
        <v>5</v>
      </c>
    </row>
    <row r="181" spans="1:15" x14ac:dyDescent="0.2">
      <c r="A181" s="2">
        <v>43997</v>
      </c>
      <c r="B181" s="3">
        <v>18991</v>
      </c>
      <c r="C181" s="3">
        <v>18390</v>
      </c>
      <c r="D181" s="3">
        <v>19255</v>
      </c>
      <c r="E181" s="3">
        <v>18270</v>
      </c>
      <c r="F181" s="3">
        <v>36380</v>
      </c>
      <c r="G181" s="7">
        <f t="shared" si="26"/>
        <v>1</v>
      </c>
      <c r="H181" s="5">
        <f t="shared" si="21"/>
        <v>6.6790352504638223E-3</v>
      </c>
      <c r="I181" s="4">
        <f t="shared" si="22"/>
        <v>-1.8676627534685165E-2</v>
      </c>
      <c r="J181" s="4">
        <f t="shared" si="23"/>
        <v>4.9582463465553239E-3</v>
      </c>
      <c r="K181" s="4">
        <f t="shared" si="24"/>
        <v>-1.4563106796116505E-2</v>
      </c>
      <c r="L181" s="4">
        <f t="shared" si="25"/>
        <v>0.31004681310767013</v>
      </c>
      <c r="M181" s="3">
        <f t="shared" si="18"/>
        <v>6</v>
      </c>
      <c r="N181" s="3">
        <f t="shared" si="19"/>
        <v>15</v>
      </c>
      <c r="O181" s="3">
        <f t="shared" si="20"/>
        <v>1</v>
      </c>
    </row>
    <row r="182" spans="1:15" x14ac:dyDescent="0.2">
      <c r="A182" s="2">
        <v>43998</v>
      </c>
      <c r="B182" s="3">
        <v>19629</v>
      </c>
      <c r="C182" s="3">
        <v>19495</v>
      </c>
      <c r="D182" s="3">
        <v>19880</v>
      </c>
      <c r="E182" s="3">
        <v>19290</v>
      </c>
      <c r="F182" s="3">
        <v>49820</v>
      </c>
      <c r="G182" s="7">
        <f t="shared" si="26"/>
        <v>1</v>
      </c>
      <c r="H182" s="5">
        <f t="shared" si="21"/>
        <v>3.3594860723500604E-2</v>
      </c>
      <c r="I182" s="4">
        <f t="shared" si="22"/>
        <v>6.0087003806416531E-2</v>
      </c>
      <c r="J182" s="4">
        <f t="shared" si="23"/>
        <v>3.2459101532069594E-2</v>
      </c>
      <c r="K182" s="4">
        <f t="shared" si="24"/>
        <v>5.5829228243021348E-2</v>
      </c>
      <c r="L182" s="4">
        <f t="shared" si="25"/>
        <v>0.36943375481033536</v>
      </c>
      <c r="M182" s="3">
        <f t="shared" si="18"/>
        <v>6</v>
      </c>
      <c r="N182" s="3">
        <f t="shared" si="19"/>
        <v>16</v>
      </c>
      <c r="O182" s="3">
        <f t="shared" si="20"/>
        <v>2</v>
      </c>
    </row>
    <row r="183" spans="1:15" x14ac:dyDescent="0.2">
      <c r="A183" s="2">
        <v>43999</v>
      </c>
      <c r="B183" s="3">
        <v>19586</v>
      </c>
      <c r="C183" s="3">
        <v>19595</v>
      </c>
      <c r="D183" s="3">
        <v>19875</v>
      </c>
      <c r="E183" s="3">
        <v>19485</v>
      </c>
      <c r="F183" s="3">
        <v>36890</v>
      </c>
      <c r="G183" s="7">
        <f t="shared" si="26"/>
        <v>0</v>
      </c>
      <c r="H183" s="5">
        <f t="shared" si="21"/>
        <v>-2.1906363034286005E-3</v>
      </c>
      <c r="I183" s="4">
        <f t="shared" si="22"/>
        <v>5.1295203898435492E-3</v>
      </c>
      <c r="J183" s="4">
        <f t="shared" si="23"/>
        <v>-2.5150905432595576E-4</v>
      </c>
      <c r="K183" s="4">
        <f t="shared" si="24"/>
        <v>1.010886469673406E-2</v>
      </c>
      <c r="L183" s="4">
        <f t="shared" si="25"/>
        <v>-0.25953432356483341</v>
      </c>
      <c r="M183" s="3">
        <f t="shared" si="18"/>
        <v>6</v>
      </c>
      <c r="N183" s="3">
        <f t="shared" si="19"/>
        <v>17</v>
      </c>
      <c r="O183" s="3">
        <f t="shared" si="20"/>
        <v>3</v>
      </c>
    </row>
    <row r="184" spans="1:15" x14ac:dyDescent="0.2">
      <c r="A184" s="2">
        <v>44000</v>
      </c>
      <c r="B184" s="3">
        <v>19489</v>
      </c>
      <c r="C184" s="3">
        <v>19490</v>
      </c>
      <c r="D184" s="3">
        <v>19815</v>
      </c>
      <c r="E184" s="3">
        <v>19320</v>
      </c>
      <c r="F184" s="3">
        <v>25880</v>
      </c>
      <c r="G184" s="7">
        <f t="shared" si="26"/>
        <v>0</v>
      </c>
      <c r="H184" s="5">
        <f t="shared" si="21"/>
        <v>-4.9525171040539157E-3</v>
      </c>
      <c r="I184" s="4">
        <f t="shared" si="22"/>
        <v>-5.3585098239346774E-3</v>
      </c>
      <c r="J184" s="4">
        <f t="shared" si="23"/>
        <v>-3.0188679245283017E-3</v>
      </c>
      <c r="K184" s="4">
        <f t="shared" si="24"/>
        <v>-8.4680523479599683E-3</v>
      </c>
      <c r="L184" s="4">
        <f t="shared" si="25"/>
        <v>-0.29845486581729463</v>
      </c>
      <c r="M184" s="3">
        <f t="shared" si="18"/>
        <v>6</v>
      </c>
      <c r="N184" s="3">
        <f t="shared" si="19"/>
        <v>18</v>
      </c>
      <c r="O184" s="3">
        <f t="shared" si="20"/>
        <v>4</v>
      </c>
    </row>
    <row r="185" spans="1:15" x14ac:dyDescent="0.2">
      <c r="A185" s="2">
        <v>44001</v>
      </c>
      <c r="B185" s="3">
        <v>19632</v>
      </c>
      <c r="C185" s="3">
        <v>19615</v>
      </c>
      <c r="D185" s="3">
        <v>19635</v>
      </c>
      <c r="E185" s="3">
        <v>19435</v>
      </c>
      <c r="F185" s="3">
        <v>70</v>
      </c>
      <c r="G185" s="7">
        <f t="shared" si="26"/>
        <v>1</v>
      </c>
      <c r="H185" s="5">
        <f t="shared" si="21"/>
        <v>7.3374724203396791E-3</v>
      </c>
      <c r="I185" s="4">
        <f t="shared" si="22"/>
        <v>6.4135454079014883E-3</v>
      </c>
      <c r="J185" s="4">
        <f t="shared" si="23"/>
        <v>-9.0840272520817562E-3</v>
      </c>
      <c r="K185" s="4">
        <f t="shared" si="24"/>
        <v>5.9523809523809521E-3</v>
      </c>
      <c r="L185" s="4">
        <f t="shared" si="25"/>
        <v>-0.99729520865533228</v>
      </c>
      <c r="M185" s="3">
        <f t="shared" si="18"/>
        <v>6</v>
      </c>
      <c r="N185" s="3">
        <f t="shared" si="19"/>
        <v>19</v>
      </c>
      <c r="O185" s="3">
        <f t="shared" si="20"/>
        <v>5</v>
      </c>
    </row>
    <row r="186" spans="1:15" x14ac:dyDescent="0.2">
      <c r="A186" s="2">
        <v>44004</v>
      </c>
      <c r="B186" s="3">
        <v>19391</v>
      </c>
      <c r="C186" s="3">
        <v>19260</v>
      </c>
      <c r="D186" s="3">
        <v>19590</v>
      </c>
      <c r="E186" s="3">
        <v>19195</v>
      </c>
      <c r="F186" s="3">
        <v>14420</v>
      </c>
      <c r="G186" s="7">
        <f t="shared" si="26"/>
        <v>0</v>
      </c>
      <c r="H186" s="5">
        <f t="shared" si="21"/>
        <v>-1.2275876120619396E-2</v>
      </c>
      <c r="I186" s="4">
        <f t="shared" si="22"/>
        <v>-1.8098394086158553E-2</v>
      </c>
      <c r="J186" s="4">
        <f t="shared" si="23"/>
        <v>-2.2918258212375861E-3</v>
      </c>
      <c r="K186" s="4">
        <f t="shared" si="24"/>
        <v>-1.2348855158219707E-2</v>
      </c>
      <c r="L186" s="4">
        <f t="shared" si="25"/>
        <v>205</v>
      </c>
      <c r="M186" s="3">
        <f t="shared" si="18"/>
        <v>6</v>
      </c>
      <c r="N186" s="3">
        <f t="shared" si="19"/>
        <v>22</v>
      </c>
      <c r="O186" s="3">
        <f t="shared" si="20"/>
        <v>1</v>
      </c>
    </row>
    <row r="187" spans="1:15" x14ac:dyDescent="0.2">
      <c r="A187" s="2">
        <v>44005</v>
      </c>
      <c r="B187" s="3">
        <v>19773</v>
      </c>
      <c r="C187" s="3">
        <v>19490</v>
      </c>
      <c r="D187" s="3">
        <v>19800</v>
      </c>
      <c r="E187" s="3">
        <v>19440</v>
      </c>
      <c r="F187" s="3">
        <v>20680</v>
      </c>
      <c r="G187" s="7">
        <f t="shared" si="26"/>
        <v>1</v>
      </c>
      <c r="H187" s="5">
        <f t="shared" si="21"/>
        <v>1.9699860760146459E-2</v>
      </c>
      <c r="I187" s="4">
        <f t="shared" si="22"/>
        <v>1.1941848390446522E-2</v>
      </c>
      <c r="J187" s="4">
        <f t="shared" si="23"/>
        <v>1.0719754977029096E-2</v>
      </c>
      <c r="K187" s="4">
        <f t="shared" si="24"/>
        <v>1.2763740557436832E-2</v>
      </c>
      <c r="L187" s="4">
        <f t="shared" si="25"/>
        <v>0.43411927877947293</v>
      </c>
      <c r="M187" s="3">
        <f t="shared" si="18"/>
        <v>6</v>
      </c>
      <c r="N187" s="3">
        <f t="shared" si="19"/>
        <v>23</v>
      </c>
      <c r="O187" s="3">
        <f t="shared" si="20"/>
        <v>2</v>
      </c>
    </row>
    <row r="188" spans="1:15" x14ac:dyDescent="0.2">
      <c r="A188" s="2">
        <v>44006</v>
      </c>
      <c r="B188" s="3">
        <v>19076</v>
      </c>
      <c r="C188" s="3">
        <v>18975</v>
      </c>
      <c r="D188" s="3">
        <v>19810</v>
      </c>
      <c r="E188" s="3">
        <v>18955</v>
      </c>
      <c r="F188" s="3">
        <v>22750</v>
      </c>
      <c r="G188" s="7">
        <f t="shared" si="26"/>
        <v>0</v>
      </c>
      <c r="H188" s="5">
        <f t="shared" si="21"/>
        <v>-3.5250088504526371E-2</v>
      </c>
      <c r="I188" s="4">
        <f t="shared" si="22"/>
        <v>-2.642380708055413E-2</v>
      </c>
      <c r="J188" s="4">
        <f t="shared" si="23"/>
        <v>5.0505050505050505E-4</v>
      </c>
      <c r="K188" s="4">
        <f t="shared" si="24"/>
        <v>-2.4948559670781894E-2</v>
      </c>
      <c r="L188" s="4">
        <f t="shared" si="25"/>
        <v>0.10009671179883946</v>
      </c>
      <c r="M188" s="3">
        <f t="shared" si="18"/>
        <v>6</v>
      </c>
      <c r="N188" s="3">
        <f t="shared" si="19"/>
        <v>24</v>
      </c>
      <c r="O188" s="3">
        <f t="shared" si="20"/>
        <v>3</v>
      </c>
    </row>
    <row r="189" spans="1:15" x14ac:dyDescent="0.2">
      <c r="A189" s="2">
        <v>44007</v>
      </c>
      <c r="B189" s="3">
        <v>19174</v>
      </c>
      <c r="C189" s="3">
        <v>19105</v>
      </c>
      <c r="D189" s="3">
        <v>19390</v>
      </c>
      <c r="E189" s="3">
        <v>18770</v>
      </c>
      <c r="F189" s="3">
        <v>26330</v>
      </c>
      <c r="G189" s="7">
        <f t="shared" si="26"/>
        <v>1</v>
      </c>
      <c r="H189" s="5">
        <f t="shared" si="21"/>
        <v>5.1373453554204238E-3</v>
      </c>
      <c r="I189" s="4">
        <f t="shared" si="22"/>
        <v>6.8511198945981552E-3</v>
      </c>
      <c r="J189" s="4">
        <f t="shared" si="23"/>
        <v>-2.1201413427561839E-2</v>
      </c>
      <c r="K189" s="4">
        <f t="shared" si="24"/>
        <v>-9.7599577947771032E-3</v>
      </c>
      <c r="L189" s="4">
        <f t="shared" si="25"/>
        <v>0.15736263736263736</v>
      </c>
      <c r="M189" s="3">
        <f t="shared" si="18"/>
        <v>6</v>
      </c>
      <c r="N189" s="3">
        <f t="shared" si="19"/>
        <v>25</v>
      </c>
      <c r="O189" s="3">
        <f t="shared" si="20"/>
        <v>4</v>
      </c>
    </row>
    <row r="190" spans="1:15" x14ac:dyDescent="0.2">
      <c r="A190" s="2">
        <v>44008</v>
      </c>
      <c r="B190" s="3">
        <v>19046</v>
      </c>
      <c r="C190" s="3">
        <v>19365</v>
      </c>
      <c r="D190" s="3">
        <v>19455</v>
      </c>
      <c r="E190" s="3">
        <v>18985</v>
      </c>
      <c r="F190" s="3">
        <v>17690</v>
      </c>
      <c r="G190" s="7">
        <f t="shared" si="26"/>
        <v>0</v>
      </c>
      <c r="H190" s="5">
        <f t="shared" si="21"/>
        <v>-6.6757066861374776E-3</v>
      </c>
      <c r="I190" s="4">
        <f t="shared" si="22"/>
        <v>1.3609002878827532E-2</v>
      </c>
      <c r="J190" s="4">
        <f t="shared" si="23"/>
        <v>3.3522434244455906E-3</v>
      </c>
      <c r="K190" s="4">
        <f t="shared" si="24"/>
        <v>1.1454448588172616E-2</v>
      </c>
      <c r="L190" s="4">
        <f t="shared" si="25"/>
        <v>-0.32814280288644132</v>
      </c>
      <c r="M190" s="3">
        <f t="shared" si="18"/>
        <v>6</v>
      </c>
      <c r="N190" s="3">
        <f t="shared" si="19"/>
        <v>26</v>
      </c>
      <c r="O190" s="3">
        <f t="shared" si="20"/>
        <v>5</v>
      </c>
    </row>
    <row r="191" spans="1:15" x14ac:dyDescent="0.2">
      <c r="A191" s="2">
        <v>44011</v>
      </c>
      <c r="B191" s="3">
        <v>19372</v>
      </c>
      <c r="C191" s="3">
        <v>18910</v>
      </c>
      <c r="D191" s="3">
        <v>19455</v>
      </c>
      <c r="E191" s="3">
        <v>18875</v>
      </c>
      <c r="F191" s="3">
        <v>18110</v>
      </c>
      <c r="G191" s="7">
        <f t="shared" si="26"/>
        <v>1</v>
      </c>
      <c r="H191" s="5">
        <f t="shared" si="21"/>
        <v>1.7116454898666388E-2</v>
      </c>
      <c r="I191" s="4">
        <f t="shared" si="22"/>
        <v>-2.3495997934417763E-2</v>
      </c>
      <c r="J191" s="4">
        <f t="shared" si="23"/>
        <v>0</v>
      </c>
      <c r="K191" s="4">
        <f t="shared" si="24"/>
        <v>-5.7940479325783514E-3</v>
      </c>
      <c r="L191" s="4">
        <f t="shared" si="25"/>
        <v>2.3742227247032222E-2</v>
      </c>
      <c r="M191" s="3">
        <f t="shared" si="18"/>
        <v>6</v>
      </c>
      <c r="N191" s="3">
        <f t="shared" si="19"/>
        <v>29</v>
      </c>
      <c r="O191" s="3">
        <f t="shared" si="20"/>
        <v>1</v>
      </c>
    </row>
    <row r="192" spans="1:15" x14ac:dyDescent="0.2">
      <c r="A192" s="2">
        <v>44012</v>
      </c>
      <c r="B192" s="3">
        <v>19289</v>
      </c>
      <c r="C192" s="3">
        <v>19365</v>
      </c>
      <c r="D192" s="3">
        <v>19460</v>
      </c>
      <c r="E192" s="3">
        <v>19130</v>
      </c>
      <c r="F192" s="3">
        <v>18450</v>
      </c>
      <c r="G192" s="7">
        <f t="shared" si="26"/>
        <v>0</v>
      </c>
      <c r="H192" s="5">
        <f t="shared" si="21"/>
        <v>-4.2845343795168281E-3</v>
      </c>
      <c r="I192" s="4">
        <f t="shared" si="22"/>
        <v>2.4061343204653623E-2</v>
      </c>
      <c r="J192" s="4">
        <f t="shared" si="23"/>
        <v>2.5700334104343357E-4</v>
      </c>
      <c r="K192" s="4">
        <f t="shared" si="24"/>
        <v>1.3509933774834438E-2</v>
      </c>
      <c r="L192" s="4">
        <f t="shared" si="25"/>
        <v>1.8774157923799006E-2</v>
      </c>
      <c r="M192" s="3">
        <f t="shared" si="18"/>
        <v>6</v>
      </c>
      <c r="N192" s="3">
        <f t="shared" si="19"/>
        <v>30</v>
      </c>
      <c r="O192" s="3">
        <f t="shared" si="20"/>
        <v>2</v>
      </c>
    </row>
    <row r="193" spans="1:15" x14ac:dyDescent="0.2">
      <c r="A193" s="2">
        <v>44013</v>
      </c>
      <c r="B193" s="3">
        <v>19207</v>
      </c>
      <c r="C193" s="3">
        <v>19265</v>
      </c>
      <c r="D193" s="3">
        <v>19395</v>
      </c>
      <c r="E193" s="3">
        <v>18915</v>
      </c>
      <c r="F193" s="3">
        <v>24000</v>
      </c>
      <c r="G193" s="7">
        <f t="shared" si="26"/>
        <v>0</v>
      </c>
      <c r="H193" s="5">
        <f t="shared" si="21"/>
        <v>-4.2511275856705897E-3</v>
      </c>
      <c r="I193" s="4">
        <f t="shared" si="22"/>
        <v>-5.1639555899819257E-3</v>
      </c>
      <c r="J193" s="4">
        <f t="shared" si="23"/>
        <v>-3.3401849948612537E-3</v>
      </c>
      <c r="K193" s="4">
        <f t="shared" si="24"/>
        <v>-1.1238891792995295E-2</v>
      </c>
      <c r="L193" s="4">
        <f t="shared" si="25"/>
        <v>0.30081300813008133</v>
      </c>
      <c r="M193" s="3">
        <f t="shared" si="18"/>
        <v>7</v>
      </c>
      <c r="N193" s="3">
        <f t="shared" si="19"/>
        <v>1</v>
      </c>
      <c r="O193" s="3">
        <f t="shared" si="20"/>
        <v>3</v>
      </c>
    </row>
    <row r="194" spans="1:15" x14ac:dyDescent="0.2">
      <c r="A194" s="2">
        <v>44014</v>
      </c>
      <c r="B194" s="3">
        <v>19794</v>
      </c>
      <c r="C194" s="3">
        <v>19365</v>
      </c>
      <c r="D194" s="3">
        <v>19895</v>
      </c>
      <c r="E194" s="3">
        <v>19340</v>
      </c>
      <c r="F194" s="3">
        <v>25300</v>
      </c>
      <c r="G194" s="7">
        <f t="shared" si="26"/>
        <v>1</v>
      </c>
      <c r="H194" s="5">
        <f t="shared" si="21"/>
        <v>3.0561774353100431E-2</v>
      </c>
      <c r="I194" s="4">
        <f t="shared" si="22"/>
        <v>5.1907604464053987E-3</v>
      </c>
      <c r="J194" s="4">
        <f t="shared" si="23"/>
        <v>2.5779840164990978E-2</v>
      </c>
      <c r="K194" s="4">
        <f t="shared" si="24"/>
        <v>2.2468939994713191E-2</v>
      </c>
      <c r="L194" s="4">
        <f t="shared" si="25"/>
        <v>5.4166666666666669E-2</v>
      </c>
      <c r="M194" s="3">
        <f t="shared" ref="M194:M257" si="27">MONTH(A194)</f>
        <v>7</v>
      </c>
      <c r="N194" s="3">
        <f t="shared" ref="N194:N257" si="28">DAY(A194)</f>
        <v>2</v>
      </c>
      <c r="O194" s="3">
        <f t="shared" ref="O194:O257" si="29">WEEKDAY(A194,2)</f>
        <v>4</v>
      </c>
    </row>
    <row r="195" spans="1:15" x14ac:dyDescent="0.2">
      <c r="A195" s="2">
        <v>44015</v>
      </c>
      <c r="B195" s="3">
        <v>19616</v>
      </c>
      <c r="C195" s="3">
        <v>19805</v>
      </c>
      <c r="D195" s="3">
        <v>19895</v>
      </c>
      <c r="E195" s="3">
        <v>19535</v>
      </c>
      <c r="F195" s="3">
        <v>11620</v>
      </c>
      <c r="G195" s="7">
        <f t="shared" si="26"/>
        <v>0</v>
      </c>
      <c r="H195" s="5">
        <f t="shared" ref="H195:H258" si="30">(B195-B194)/B194</f>
        <v>-8.992624027483076E-3</v>
      </c>
      <c r="I195" s="4">
        <f t="shared" ref="I195:I258" si="31">(C195-C194)/C194</f>
        <v>2.2721404595920477E-2</v>
      </c>
      <c r="J195" s="4">
        <f t="shared" ref="J195:J258" si="32">(D195-D194)/D194</f>
        <v>0</v>
      </c>
      <c r="K195" s="4">
        <f t="shared" ref="K195:K258" si="33">(E195-E194)/E194</f>
        <v>1.0082730093071354E-2</v>
      </c>
      <c r="L195" s="4">
        <f t="shared" ref="L195:L258" si="34">(F195-F194)/F194</f>
        <v>-0.54071146245059287</v>
      </c>
      <c r="M195" s="3">
        <f t="shared" si="27"/>
        <v>7</v>
      </c>
      <c r="N195" s="3">
        <f t="shared" si="28"/>
        <v>3</v>
      </c>
      <c r="O195" s="3">
        <f t="shared" si="29"/>
        <v>5</v>
      </c>
    </row>
    <row r="196" spans="1:15" x14ac:dyDescent="0.2">
      <c r="A196" s="2">
        <v>44018</v>
      </c>
      <c r="B196" s="3">
        <v>19974</v>
      </c>
      <c r="C196" s="3">
        <v>19995</v>
      </c>
      <c r="D196" s="3">
        <v>20145</v>
      </c>
      <c r="E196" s="3">
        <v>19845</v>
      </c>
      <c r="F196" s="3">
        <v>16360</v>
      </c>
      <c r="G196" s="7">
        <f t="shared" ref="G196:G259" si="35">IF(H196&lt;0, 0, 1)</f>
        <v>1</v>
      </c>
      <c r="H196" s="5">
        <f t="shared" si="30"/>
        <v>1.8250407830342579E-2</v>
      </c>
      <c r="I196" s="4">
        <f t="shared" si="31"/>
        <v>9.5935369856096943E-3</v>
      </c>
      <c r="J196" s="4">
        <f t="shared" si="32"/>
        <v>1.2565971349585323E-2</v>
      </c>
      <c r="K196" s="4">
        <f t="shared" si="33"/>
        <v>1.5868953160993089E-2</v>
      </c>
      <c r="L196" s="4">
        <f t="shared" si="34"/>
        <v>0.40791738382099829</v>
      </c>
      <c r="M196" s="3">
        <f t="shared" si="27"/>
        <v>7</v>
      </c>
      <c r="N196" s="3">
        <f t="shared" si="28"/>
        <v>6</v>
      </c>
      <c r="O196" s="3">
        <f t="shared" si="29"/>
        <v>1</v>
      </c>
    </row>
    <row r="197" spans="1:15" x14ac:dyDescent="0.2">
      <c r="A197" s="2">
        <v>44019</v>
      </c>
      <c r="B197" s="3">
        <v>19922</v>
      </c>
      <c r="C197" s="3">
        <v>19950</v>
      </c>
      <c r="D197" s="3">
        <v>19995</v>
      </c>
      <c r="E197" s="3">
        <v>19765</v>
      </c>
      <c r="F197" s="3">
        <v>15810</v>
      </c>
      <c r="G197" s="7">
        <f t="shared" si="35"/>
        <v>0</v>
      </c>
      <c r="H197" s="5">
        <f t="shared" si="30"/>
        <v>-2.6033843997196357E-3</v>
      </c>
      <c r="I197" s="4">
        <f t="shared" si="31"/>
        <v>-2.2505626406601649E-3</v>
      </c>
      <c r="J197" s="4">
        <f t="shared" si="32"/>
        <v>-7.446016381236039E-3</v>
      </c>
      <c r="K197" s="4">
        <f t="shared" si="33"/>
        <v>-4.0312421264802221E-3</v>
      </c>
      <c r="L197" s="4">
        <f t="shared" si="34"/>
        <v>-3.3618581907090467E-2</v>
      </c>
      <c r="M197" s="3">
        <f t="shared" si="27"/>
        <v>7</v>
      </c>
      <c r="N197" s="3">
        <f t="shared" si="28"/>
        <v>7</v>
      </c>
      <c r="O197" s="3">
        <f t="shared" si="29"/>
        <v>2</v>
      </c>
    </row>
    <row r="198" spans="1:15" x14ac:dyDescent="0.2">
      <c r="A198" s="2">
        <v>44020</v>
      </c>
      <c r="B198" s="3">
        <v>19831</v>
      </c>
      <c r="C198" s="3">
        <v>19800</v>
      </c>
      <c r="D198" s="3">
        <v>20030</v>
      </c>
      <c r="E198" s="3">
        <v>19755</v>
      </c>
      <c r="F198" s="3">
        <v>16090</v>
      </c>
      <c r="G198" s="7">
        <f t="shared" si="35"/>
        <v>0</v>
      </c>
      <c r="H198" s="5">
        <f t="shared" si="30"/>
        <v>-4.567814476458187E-3</v>
      </c>
      <c r="I198" s="4">
        <f t="shared" si="31"/>
        <v>-7.5187969924812026E-3</v>
      </c>
      <c r="J198" s="4">
        <f t="shared" si="32"/>
        <v>1.7504376094023505E-3</v>
      </c>
      <c r="K198" s="4">
        <f t="shared" si="33"/>
        <v>-5.0594485201113073E-4</v>
      </c>
      <c r="L198" s="4">
        <f t="shared" si="34"/>
        <v>1.7710309930423784E-2</v>
      </c>
      <c r="M198" s="3">
        <f t="shared" si="27"/>
        <v>7</v>
      </c>
      <c r="N198" s="3">
        <f t="shared" si="28"/>
        <v>8</v>
      </c>
      <c r="O198" s="3">
        <f t="shared" si="29"/>
        <v>3</v>
      </c>
    </row>
    <row r="199" spans="1:15" x14ac:dyDescent="0.2">
      <c r="A199" s="2">
        <v>44021</v>
      </c>
      <c r="B199" s="3">
        <v>19439</v>
      </c>
      <c r="C199" s="3">
        <v>19980</v>
      </c>
      <c r="D199" s="3">
        <v>19980</v>
      </c>
      <c r="E199" s="3">
        <v>19355</v>
      </c>
      <c r="F199" s="3">
        <v>20820</v>
      </c>
      <c r="G199" s="7">
        <f t="shared" si="35"/>
        <v>0</v>
      </c>
      <c r="H199" s="5">
        <f t="shared" si="30"/>
        <v>-1.9767031415460642E-2</v>
      </c>
      <c r="I199" s="4">
        <f t="shared" si="31"/>
        <v>9.0909090909090905E-3</v>
      </c>
      <c r="J199" s="4">
        <f t="shared" si="32"/>
        <v>-2.4962556165751375E-3</v>
      </c>
      <c r="K199" s="4">
        <f t="shared" si="33"/>
        <v>-2.0248038471273096E-2</v>
      </c>
      <c r="L199" s="4">
        <f t="shared" si="34"/>
        <v>0.29397141081417028</v>
      </c>
      <c r="M199" s="3">
        <f t="shared" si="27"/>
        <v>7</v>
      </c>
      <c r="N199" s="3">
        <f t="shared" si="28"/>
        <v>9</v>
      </c>
      <c r="O199" s="3">
        <f t="shared" si="29"/>
        <v>4</v>
      </c>
    </row>
    <row r="200" spans="1:15" x14ac:dyDescent="0.2">
      <c r="A200" s="2">
        <v>44022</v>
      </c>
      <c r="B200" s="3">
        <v>19688</v>
      </c>
      <c r="C200" s="3">
        <v>19360</v>
      </c>
      <c r="D200" s="3">
        <v>19905</v>
      </c>
      <c r="E200" s="3">
        <v>19230</v>
      </c>
      <c r="F200" s="3">
        <v>17620</v>
      </c>
      <c r="G200" s="7">
        <f t="shared" si="35"/>
        <v>1</v>
      </c>
      <c r="H200" s="5">
        <f t="shared" si="30"/>
        <v>1.2809300889963475E-2</v>
      </c>
      <c r="I200" s="4">
        <f t="shared" si="31"/>
        <v>-3.1031031031031032E-2</v>
      </c>
      <c r="J200" s="4">
        <f t="shared" si="32"/>
        <v>-3.7537537537537537E-3</v>
      </c>
      <c r="K200" s="4">
        <f t="shared" si="33"/>
        <v>-6.4582795143373808E-3</v>
      </c>
      <c r="L200" s="4">
        <f t="shared" si="34"/>
        <v>-0.15369836695485112</v>
      </c>
      <c r="M200" s="3">
        <f t="shared" si="27"/>
        <v>7</v>
      </c>
      <c r="N200" s="3">
        <f t="shared" si="28"/>
        <v>10</v>
      </c>
      <c r="O200" s="3">
        <f t="shared" si="29"/>
        <v>5</v>
      </c>
    </row>
    <row r="201" spans="1:15" x14ac:dyDescent="0.2">
      <c r="A201" s="2">
        <v>44025</v>
      </c>
      <c r="B201" s="3">
        <v>19943</v>
      </c>
      <c r="C201" s="3">
        <v>20015</v>
      </c>
      <c r="D201" s="3">
        <v>20110</v>
      </c>
      <c r="E201" s="3">
        <v>19595</v>
      </c>
      <c r="F201" s="3">
        <v>17670</v>
      </c>
      <c r="G201" s="7">
        <f t="shared" si="35"/>
        <v>1</v>
      </c>
      <c r="H201" s="5">
        <f t="shared" si="30"/>
        <v>1.295205201137749E-2</v>
      </c>
      <c r="I201" s="4">
        <f t="shared" si="31"/>
        <v>3.3832644628099172E-2</v>
      </c>
      <c r="J201" s="4">
        <f t="shared" si="32"/>
        <v>1.0298919869379553E-2</v>
      </c>
      <c r="K201" s="4">
        <f t="shared" si="33"/>
        <v>1.8980759230369213E-2</v>
      </c>
      <c r="L201" s="4">
        <f t="shared" si="34"/>
        <v>2.8376844494892167E-3</v>
      </c>
      <c r="M201" s="3">
        <f t="shared" si="27"/>
        <v>7</v>
      </c>
      <c r="N201" s="3">
        <f t="shared" si="28"/>
        <v>13</v>
      </c>
      <c r="O201" s="3">
        <f t="shared" si="29"/>
        <v>1</v>
      </c>
    </row>
    <row r="202" spans="1:15" x14ac:dyDescent="0.2">
      <c r="A202" s="2">
        <v>44026</v>
      </c>
      <c r="B202" s="3">
        <v>19792</v>
      </c>
      <c r="C202" s="3">
        <v>19635</v>
      </c>
      <c r="D202" s="3">
        <v>19925</v>
      </c>
      <c r="E202" s="3">
        <v>19595</v>
      </c>
      <c r="F202" s="3">
        <v>16200</v>
      </c>
      <c r="G202" s="7">
        <f t="shared" si="35"/>
        <v>0</v>
      </c>
      <c r="H202" s="5">
        <f t="shared" si="30"/>
        <v>-7.5715790001504284E-3</v>
      </c>
      <c r="I202" s="4">
        <f t="shared" si="31"/>
        <v>-1.8985760679490381E-2</v>
      </c>
      <c r="J202" s="4">
        <f t="shared" si="32"/>
        <v>-9.1994032819492783E-3</v>
      </c>
      <c r="K202" s="4">
        <f t="shared" si="33"/>
        <v>0</v>
      </c>
      <c r="L202" s="4">
        <f t="shared" si="34"/>
        <v>-8.3191850594227498E-2</v>
      </c>
      <c r="M202" s="3">
        <f t="shared" si="27"/>
        <v>7</v>
      </c>
      <c r="N202" s="3">
        <f t="shared" si="28"/>
        <v>14</v>
      </c>
      <c r="O202" s="3">
        <f t="shared" si="29"/>
        <v>2</v>
      </c>
    </row>
    <row r="203" spans="1:15" x14ac:dyDescent="0.2">
      <c r="A203" s="2">
        <v>44027</v>
      </c>
      <c r="B203" s="3">
        <v>20193</v>
      </c>
      <c r="C203" s="3">
        <v>20035</v>
      </c>
      <c r="D203" s="3">
        <v>20295</v>
      </c>
      <c r="E203" s="3">
        <v>19920</v>
      </c>
      <c r="F203" s="3">
        <v>24000</v>
      </c>
      <c r="G203" s="7">
        <f t="shared" si="35"/>
        <v>1</v>
      </c>
      <c r="H203" s="5">
        <f t="shared" si="30"/>
        <v>2.0260711398544868E-2</v>
      </c>
      <c r="I203" s="4">
        <f t="shared" si="31"/>
        <v>2.0371785077667431E-2</v>
      </c>
      <c r="J203" s="4">
        <f t="shared" si="32"/>
        <v>1.8569636135508157E-2</v>
      </c>
      <c r="K203" s="4">
        <f t="shared" si="33"/>
        <v>1.658586374075019E-2</v>
      </c>
      <c r="L203" s="4">
        <f t="shared" si="34"/>
        <v>0.48148148148148145</v>
      </c>
      <c r="M203" s="3">
        <f t="shared" si="27"/>
        <v>7</v>
      </c>
      <c r="N203" s="3">
        <f t="shared" si="28"/>
        <v>15</v>
      </c>
      <c r="O203" s="3">
        <f t="shared" si="29"/>
        <v>3</v>
      </c>
    </row>
    <row r="204" spans="1:15" x14ac:dyDescent="0.2">
      <c r="A204" s="2">
        <v>44028</v>
      </c>
      <c r="B204" s="3">
        <v>20278</v>
      </c>
      <c r="C204" s="3">
        <v>20060</v>
      </c>
      <c r="D204" s="3">
        <v>20350</v>
      </c>
      <c r="E204" s="3">
        <v>20045</v>
      </c>
      <c r="F204" s="3">
        <v>17350</v>
      </c>
      <c r="G204" s="7">
        <f t="shared" si="35"/>
        <v>1</v>
      </c>
      <c r="H204" s="5">
        <f t="shared" si="30"/>
        <v>4.2093794879413662E-3</v>
      </c>
      <c r="I204" s="4">
        <f t="shared" si="31"/>
        <v>1.2478163214374844E-3</v>
      </c>
      <c r="J204" s="4">
        <f t="shared" si="32"/>
        <v>2.7100271002710027E-3</v>
      </c>
      <c r="K204" s="4">
        <f t="shared" si="33"/>
        <v>6.2751004016064257E-3</v>
      </c>
      <c r="L204" s="4">
        <f t="shared" si="34"/>
        <v>-0.27708333333333335</v>
      </c>
      <c r="M204" s="3">
        <f t="shared" si="27"/>
        <v>7</v>
      </c>
      <c r="N204" s="3">
        <f t="shared" si="28"/>
        <v>16</v>
      </c>
      <c r="O204" s="3">
        <f t="shared" si="29"/>
        <v>4</v>
      </c>
    </row>
    <row r="205" spans="1:15" x14ac:dyDescent="0.2">
      <c r="A205" s="2">
        <v>44029</v>
      </c>
      <c r="B205" s="3">
        <v>20344</v>
      </c>
      <c r="C205" s="3">
        <v>20345</v>
      </c>
      <c r="D205" s="3">
        <v>20410</v>
      </c>
      <c r="E205" s="3">
        <v>20190</v>
      </c>
      <c r="F205" s="3">
        <v>14250</v>
      </c>
      <c r="G205" s="7">
        <f t="shared" si="35"/>
        <v>1</v>
      </c>
      <c r="H205" s="5">
        <f t="shared" si="30"/>
        <v>3.2547588519577868E-3</v>
      </c>
      <c r="I205" s="4">
        <f t="shared" si="31"/>
        <v>1.4207377866400797E-2</v>
      </c>
      <c r="J205" s="4">
        <f t="shared" si="32"/>
        <v>2.9484029484029483E-3</v>
      </c>
      <c r="K205" s="4">
        <f t="shared" si="33"/>
        <v>7.2337241207283609E-3</v>
      </c>
      <c r="L205" s="4">
        <f t="shared" si="34"/>
        <v>-0.17867435158501441</v>
      </c>
      <c r="M205" s="3">
        <f t="shared" si="27"/>
        <v>7</v>
      </c>
      <c r="N205" s="3">
        <f t="shared" si="28"/>
        <v>17</v>
      </c>
      <c r="O205" s="3">
        <f t="shared" si="29"/>
        <v>5</v>
      </c>
    </row>
    <row r="206" spans="1:15" x14ac:dyDescent="0.2">
      <c r="A206" s="2">
        <v>44032</v>
      </c>
      <c r="B206" s="3">
        <v>20622</v>
      </c>
      <c r="C206" s="3">
        <v>20340</v>
      </c>
      <c r="D206" s="3">
        <v>20675</v>
      </c>
      <c r="E206" s="3">
        <v>20200</v>
      </c>
      <c r="F206" s="3">
        <v>20760</v>
      </c>
      <c r="G206" s="7">
        <f t="shared" si="35"/>
        <v>1</v>
      </c>
      <c r="H206" s="5">
        <f t="shared" si="30"/>
        <v>1.3664962642548172E-2</v>
      </c>
      <c r="I206" s="4">
        <f t="shared" si="31"/>
        <v>-2.457606291472106E-4</v>
      </c>
      <c r="J206" s="4">
        <f t="shared" si="32"/>
        <v>1.2983831455169036E-2</v>
      </c>
      <c r="K206" s="4">
        <f t="shared" si="33"/>
        <v>4.9529470034670627E-4</v>
      </c>
      <c r="L206" s="4">
        <f t="shared" si="34"/>
        <v>0.45684210526315788</v>
      </c>
      <c r="M206" s="3">
        <f t="shared" si="27"/>
        <v>7</v>
      </c>
      <c r="N206" s="3">
        <f t="shared" si="28"/>
        <v>20</v>
      </c>
      <c r="O206" s="3">
        <f t="shared" si="29"/>
        <v>1</v>
      </c>
    </row>
    <row r="207" spans="1:15" x14ac:dyDescent="0.2">
      <c r="A207" s="2">
        <v>44033</v>
      </c>
      <c r="B207" s="3">
        <v>20696</v>
      </c>
      <c r="C207" s="3">
        <v>20825</v>
      </c>
      <c r="D207" s="3">
        <v>21125</v>
      </c>
      <c r="E207" s="3">
        <v>20525</v>
      </c>
      <c r="F207" s="3">
        <v>24350</v>
      </c>
      <c r="G207" s="7">
        <f t="shared" si="35"/>
        <v>1</v>
      </c>
      <c r="H207" s="5">
        <f t="shared" si="30"/>
        <v>3.588400737076908E-3</v>
      </c>
      <c r="I207" s="4">
        <f t="shared" si="31"/>
        <v>2.384464110127827E-2</v>
      </c>
      <c r="J207" s="4">
        <f t="shared" si="32"/>
        <v>2.1765417170495769E-2</v>
      </c>
      <c r="K207" s="4">
        <f t="shared" si="33"/>
        <v>1.608910891089109E-2</v>
      </c>
      <c r="L207" s="4">
        <f t="shared" si="34"/>
        <v>0.17292870905587668</v>
      </c>
      <c r="M207" s="3">
        <f t="shared" si="27"/>
        <v>7</v>
      </c>
      <c r="N207" s="3">
        <f t="shared" si="28"/>
        <v>21</v>
      </c>
      <c r="O207" s="3">
        <f t="shared" si="29"/>
        <v>2</v>
      </c>
    </row>
    <row r="208" spans="1:15" x14ac:dyDescent="0.2">
      <c r="A208" s="2">
        <v>44034</v>
      </c>
      <c r="B208" s="3">
        <v>20567</v>
      </c>
      <c r="C208" s="3">
        <v>20615</v>
      </c>
      <c r="D208" s="3">
        <v>20780</v>
      </c>
      <c r="E208" s="3">
        <v>20490</v>
      </c>
      <c r="F208" s="3">
        <v>14920</v>
      </c>
      <c r="G208" s="7">
        <f t="shared" si="35"/>
        <v>0</v>
      </c>
      <c r="H208" s="5">
        <f t="shared" si="30"/>
        <v>-6.2330885195206803E-3</v>
      </c>
      <c r="I208" s="4">
        <f t="shared" si="31"/>
        <v>-1.0084033613445379E-2</v>
      </c>
      <c r="J208" s="4">
        <f t="shared" si="32"/>
        <v>-1.6331360946745564E-2</v>
      </c>
      <c r="K208" s="4">
        <f t="shared" si="33"/>
        <v>-1.7052375152253349E-3</v>
      </c>
      <c r="L208" s="4">
        <f t="shared" si="34"/>
        <v>-0.38726899383983571</v>
      </c>
      <c r="M208" s="3">
        <f t="shared" si="27"/>
        <v>7</v>
      </c>
      <c r="N208" s="3">
        <f t="shared" si="28"/>
        <v>22</v>
      </c>
      <c r="O208" s="3">
        <f t="shared" si="29"/>
        <v>3</v>
      </c>
    </row>
    <row r="209" spans="1:15" x14ac:dyDescent="0.2">
      <c r="A209" s="2">
        <v>44035</v>
      </c>
      <c r="B209" s="3">
        <v>20443</v>
      </c>
      <c r="C209" s="3">
        <v>20645</v>
      </c>
      <c r="D209" s="3">
        <v>20710</v>
      </c>
      <c r="E209" s="3">
        <v>20215</v>
      </c>
      <c r="F209" s="3">
        <v>17780</v>
      </c>
      <c r="G209" s="7">
        <f t="shared" si="35"/>
        <v>0</v>
      </c>
      <c r="H209" s="5">
        <f t="shared" si="30"/>
        <v>-6.0290757037973451E-3</v>
      </c>
      <c r="I209" s="4">
        <f t="shared" si="31"/>
        <v>1.4552510308028135E-3</v>
      </c>
      <c r="J209" s="4">
        <f t="shared" si="32"/>
        <v>-3.3686236766121268E-3</v>
      </c>
      <c r="K209" s="4">
        <f t="shared" si="33"/>
        <v>-1.3421181063933627E-2</v>
      </c>
      <c r="L209" s="4">
        <f t="shared" si="34"/>
        <v>0.19168900804289543</v>
      </c>
      <c r="M209" s="3">
        <f t="shared" si="27"/>
        <v>7</v>
      </c>
      <c r="N209" s="3">
        <f t="shared" si="28"/>
        <v>23</v>
      </c>
      <c r="O209" s="3">
        <f t="shared" si="29"/>
        <v>4</v>
      </c>
    </row>
    <row r="210" spans="1:15" x14ac:dyDescent="0.2">
      <c r="A210" s="2">
        <v>44036</v>
      </c>
      <c r="B210" s="3">
        <v>20060</v>
      </c>
      <c r="C210" s="3">
        <v>20145</v>
      </c>
      <c r="D210" s="3">
        <v>20235</v>
      </c>
      <c r="E210" s="3">
        <v>19935</v>
      </c>
      <c r="F210" s="3">
        <v>16830</v>
      </c>
      <c r="G210" s="7">
        <f t="shared" si="35"/>
        <v>0</v>
      </c>
      <c r="H210" s="5">
        <f t="shared" si="30"/>
        <v>-1.8735019322017318E-2</v>
      </c>
      <c r="I210" s="4">
        <f t="shared" si="31"/>
        <v>-2.4218939210462583E-2</v>
      </c>
      <c r="J210" s="4">
        <f t="shared" si="32"/>
        <v>-2.2935779816513763E-2</v>
      </c>
      <c r="K210" s="4">
        <f t="shared" si="33"/>
        <v>-1.3851100667820925E-2</v>
      </c>
      <c r="L210" s="4">
        <f t="shared" si="34"/>
        <v>-5.3430821147356582E-2</v>
      </c>
      <c r="M210" s="3">
        <f t="shared" si="27"/>
        <v>7</v>
      </c>
      <c r="N210" s="3">
        <f t="shared" si="28"/>
        <v>24</v>
      </c>
      <c r="O210" s="3">
        <f t="shared" si="29"/>
        <v>5</v>
      </c>
    </row>
    <row r="211" spans="1:15" x14ac:dyDescent="0.2">
      <c r="A211" s="2">
        <v>44039</v>
      </c>
      <c r="B211" s="3">
        <v>20000</v>
      </c>
      <c r="C211" s="3">
        <v>20090</v>
      </c>
      <c r="D211" s="3">
        <v>20150</v>
      </c>
      <c r="E211" s="3">
        <v>19890</v>
      </c>
      <c r="F211" s="3">
        <v>12630</v>
      </c>
      <c r="G211" s="7">
        <f t="shared" si="35"/>
        <v>0</v>
      </c>
      <c r="H211" s="5">
        <f t="shared" si="30"/>
        <v>-2.9910269192422734E-3</v>
      </c>
      <c r="I211" s="4">
        <f t="shared" si="31"/>
        <v>-2.730206006453214E-3</v>
      </c>
      <c r="J211" s="4">
        <f t="shared" si="32"/>
        <v>-4.200642451198419E-3</v>
      </c>
      <c r="K211" s="4">
        <f t="shared" si="33"/>
        <v>-2.257336343115124E-3</v>
      </c>
      <c r="L211" s="4">
        <f t="shared" si="34"/>
        <v>-0.24955436720142601</v>
      </c>
      <c r="M211" s="3">
        <f t="shared" si="27"/>
        <v>7</v>
      </c>
      <c r="N211" s="3">
        <f t="shared" si="28"/>
        <v>27</v>
      </c>
      <c r="O211" s="3">
        <f t="shared" si="29"/>
        <v>1</v>
      </c>
    </row>
    <row r="212" spans="1:15" x14ac:dyDescent="0.2">
      <c r="A212" s="2">
        <v>44040</v>
      </c>
      <c r="B212" s="3">
        <v>19900</v>
      </c>
      <c r="C212" s="3">
        <v>20035</v>
      </c>
      <c r="D212" s="3">
        <v>20100</v>
      </c>
      <c r="E212" s="3">
        <v>19675</v>
      </c>
      <c r="F212" s="3">
        <v>15790</v>
      </c>
      <c r="G212" s="7">
        <f t="shared" si="35"/>
        <v>0</v>
      </c>
      <c r="H212" s="5">
        <f t="shared" si="30"/>
        <v>-5.0000000000000001E-3</v>
      </c>
      <c r="I212" s="4">
        <f t="shared" si="31"/>
        <v>-2.7376804380288703E-3</v>
      </c>
      <c r="J212" s="4">
        <f t="shared" si="32"/>
        <v>-2.4813895781637717E-3</v>
      </c>
      <c r="K212" s="4">
        <f t="shared" si="33"/>
        <v>-1.0809451985922574E-2</v>
      </c>
      <c r="L212" s="4">
        <f t="shared" si="34"/>
        <v>0.25019794140934282</v>
      </c>
      <c r="M212" s="3">
        <f t="shared" si="27"/>
        <v>7</v>
      </c>
      <c r="N212" s="3">
        <f t="shared" si="28"/>
        <v>28</v>
      </c>
      <c r="O212" s="3">
        <f t="shared" si="29"/>
        <v>2</v>
      </c>
    </row>
    <row r="213" spans="1:15" x14ac:dyDescent="0.2">
      <c r="A213" s="2">
        <v>44041</v>
      </c>
      <c r="B213" s="3">
        <v>19854</v>
      </c>
      <c r="C213" s="3">
        <v>19790</v>
      </c>
      <c r="D213" s="3">
        <v>20010</v>
      </c>
      <c r="E213" s="3">
        <v>19705</v>
      </c>
      <c r="F213" s="3">
        <v>10080</v>
      </c>
      <c r="G213" s="7">
        <f t="shared" si="35"/>
        <v>0</v>
      </c>
      <c r="H213" s="5">
        <f t="shared" si="30"/>
        <v>-2.3115577889447235E-3</v>
      </c>
      <c r="I213" s="4">
        <f t="shared" si="31"/>
        <v>-1.2228599950087347E-2</v>
      </c>
      <c r="J213" s="4">
        <f t="shared" si="32"/>
        <v>-4.4776119402985077E-3</v>
      </c>
      <c r="K213" s="4">
        <f t="shared" si="33"/>
        <v>1.5247776365946632E-3</v>
      </c>
      <c r="L213" s="4">
        <f t="shared" si="34"/>
        <v>-0.36162127929069032</v>
      </c>
      <c r="M213" s="3">
        <f t="shared" si="27"/>
        <v>7</v>
      </c>
      <c r="N213" s="3">
        <f t="shared" si="28"/>
        <v>29</v>
      </c>
      <c r="O213" s="3">
        <f t="shared" si="29"/>
        <v>3</v>
      </c>
    </row>
    <row r="214" spans="1:15" x14ac:dyDescent="0.2">
      <c r="A214" s="2">
        <v>44042</v>
      </c>
      <c r="B214" s="3">
        <v>19218</v>
      </c>
      <c r="C214" s="3">
        <v>19930</v>
      </c>
      <c r="D214" s="3">
        <v>19950</v>
      </c>
      <c r="E214" s="3">
        <v>19090</v>
      </c>
      <c r="F214" s="3">
        <v>28210</v>
      </c>
      <c r="G214" s="7">
        <f t="shared" si="35"/>
        <v>0</v>
      </c>
      <c r="H214" s="5">
        <f t="shared" si="30"/>
        <v>-3.2033847083711091E-2</v>
      </c>
      <c r="I214" s="4">
        <f t="shared" si="31"/>
        <v>7.0742799393633147E-3</v>
      </c>
      <c r="J214" s="4">
        <f t="shared" si="32"/>
        <v>-2.9985007496251873E-3</v>
      </c>
      <c r="K214" s="4">
        <f t="shared" si="33"/>
        <v>-3.1210352702359806E-2</v>
      </c>
      <c r="L214" s="4">
        <f t="shared" si="34"/>
        <v>1.7986111111111112</v>
      </c>
      <c r="M214" s="3">
        <f t="shared" si="27"/>
        <v>7</v>
      </c>
      <c r="N214" s="3">
        <f t="shared" si="28"/>
        <v>30</v>
      </c>
      <c r="O214" s="3">
        <f t="shared" si="29"/>
        <v>4</v>
      </c>
    </row>
    <row r="215" spans="1:15" x14ac:dyDescent="0.2">
      <c r="A215" s="2">
        <v>44043</v>
      </c>
      <c r="B215" s="3">
        <v>19097</v>
      </c>
      <c r="C215" s="3">
        <v>19120</v>
      </c>
      <c r="D215" s="3">
        <v>19520</v>
      </c>
      <c r="E215" s="3">
        <v>18910</v>
      </c>
      <c r="F215" s="3">
        <v>21920</v>
      </c>
      <c r="G215" s="7">
        <f t="shared" si="35"/>
        <v>0</v>
      </c>
      <c r="H215" s="5">
        <f t="shared" si="30"/>
        <v>-6.29618066396087E-3</v>
      </c>
      <c r="I215" s="4">
        <f t="shared" si="31"/>
        <v>-4.0642247867536375E-2</v>
      </c>
      <c r="J215" s="4">
        <f t="shared" si="32"/>
        <v>-2.155388471177945E-2</v>
      </c>
      <c r="K215" s="4">
        <f t="shared" si="33"/>
        <v>-9.4290204295442645E-3</v>
      </c>
      <c r="L215" s="4">
        <f t="shared" si="34"/>
        <v>-0.22297057780928747</v>
      </c>
      <c r="M215" s="3">
        <f t="shared" si="27"/>
        <v>7</v>
      </c>
      <c r="N215" s="3">
        <f t="shared" si="28"/>
        <v>31</v>
      </c>
      <c r="O215" s="3">
        <f t="shared" si="29"/>
        <v>5</v>
      </c>
    </row>
    <row r="216" spans="1:15" x14ac:dyDescent="0.2">
      <c r="A216" s="2">
        <v>44046</v>
      </c>
      <c r="B216" s="3">
        <v>19360</v>
      </c>
      <c r="C216" s="3">
        <v>19165</v>
      </c>
      <c r="D216" s="3">
        <v>19415</v>
      </c>
      <c r="E216" s="3">
        <v>18930</v>
      </c>
      <c r="F216" s="3">
        <v>17370</v>
      </c>
      <c r="G216" s="7">
        <f t="shared" si="35"/>
        <v>1</v>
      </c>
      <c r="H216" s="5">
        <f t="shared" si="30"/>
        <v>1.3771796617269728E-2</v>
      </c>
      <c r="I216" s="4">
        <f t="shared" si="31"/>
        <v>2.3535564853556486E-3</v>
      </c>
      <c r="J216" s="4">
        <f t="shared" si="32"/>
        <v>-5.3790983606557376E-3</v>
      </c>
      <c r="K216" s="4">
        <f t="shared" si="33"/>
        <v>1.0576414595452142E-3</v>
      </c>
      <c r="L216" s="4">
        <f t="shared" si="34"/>
        <v>-0.20757299270072993</v>
      </c>
      <c r="M216" s="3">
        <f t="shared" si="27"/>
        <v>8</v>
      </c>
      <c r="N216" s="3">
        <f t="shared" si="28"/>
        <v>3</v>
      </c>
      <c r="O216" s="3">
        <f t="shared" si="29"/>
        <v>1</v>
      </c>
    </row>
    <row r="217" spans="1:15" x14ac:dyDescent="0.2">
      <c r="A217" s="2">
        <v>44047</v>
      </c>
      <c r="B217" s="3">
        <v>19577</v>
      </c>
      <c r="C217" s="3">
        <v>19435</v>
      </c>
      <c r="D217" s="3">
        <v>19640</v>
      </c>
      <c r="E217" s="3">
        <v>19350</v>
      </c>
      <c r="F217" s="3">
        <v>18070</v>
      </c>
      <c r="G217" s="7">
        <f t="shared" si="35"/>
        <v>1</v>
      </c>
      <c r="H217" s="5">
        <f t="shared" si="30"/>
        <v>1.1208677685950413E-2</v>
      </c>
      <c r="I217" s="4">
        <f t="shared" si="31"/>
        <v>1.4088181581007045E-2</v>
      </c>
      <c r="J217" s="4">
        <f t="shared" si="32"/>
        <v>1.1588977594643318E-2</v>
      </c>
      <c r="K217" s="4">
        <f t="shared" si="33"/>
        <v>2.2187004754358162E-2</v>
      </c>
      <c r="L217" s="4">
        <f t="shared" si="34"/>
        <v>4.0299366724237187E-2</v>
      </c>
      <c r="M217" s="3">
        <f t="shared" si="27"/>
        <v>8</v>
      </c>
      <c r="N217" s="3">
        <f t="shared" si="28"/>
        <v>4</v>
      </c>
      <c r="O217" s="3">
        <f t="shared" si="29"/>
        <v>2</v>
      </c>
    </row>
    <row r="218" spans="1:15" x14ac:dyDescent="0.2">
      <c r="A218" s="2">
        <v>44048</v>
      </c>
      <c r="B218" s="3">
        <v>19737</v>
      </c>
      <c r="C218" s="3">
        <v>19620</v>
      </c>
      <c r="D218" s="3">
        <v>19890</v>
      </c>
      <c r="E218" s="3">
        <v>19610</v>
      </c>
      <c r="F218" s="3">
        <v>14410</v>
      </c>
      <c r="G218" s="7">
        <f t="shared" si="35"/>
        <v>1</v>
      </c>
      <c r="H218" s="5">
        <f t="shared" si="30"/>
        <v>8.1728559023343719E-3</v>
      </c>
      <c r="I218" s="4">
        <f t="shared" si="31"/>
        <v>9.5189091844610236E-3</v>
      </c>
      <c r="J218" s="4">
        <f t="shared" si="32"/>
        <v>1.2729124236252547E-2</v>
      </c>
      <c r="K218" s="4">
        <f t="shared" si="33"/>
        <v>1.3436692506459949E-2</v>
      </c>
      <c r="L218" s="4">
        <f t="shared" si="34"/>
        <v>-0.20254565578306585</v>
      </c>
      <c r="M218" s="3">
        <f t="shared" si="27"/>
        <v>8</v>
      </c>
      <c r="N218" s="3">
        <f t="shared" si="28"/>
        <v>5</v>
      </c>
      <c r="O218" s="3">
        <f t="shared" si="29"/>
        <v>3</v>
      </c>
    </row>
    <row r="219" spans="1:15" x14ac:dyDescent="0.2">
      <c r="A219" s="2">
        <v>44049</v>
      </c>
      <c r="B219" s="3">
        <v>19455</v>
      </c>
      <c r="C219" s="3">
        <v>19665</v>
      </c>
      <c r="D219" s="3">
        <v>19820</v>
      </c>
      <c r="E219" s="3">
        <v>19325</v>
      </c>
      <c r="F219" s="3">
        <v>19250</v>
      </c>
      <c r="G219" s="7">
        <f t="shared" si="35"/>
        <v>0</v>
      </c>
      <c r="H219" s="5">
        <f t="shared" si="30"/>
        <v>-1.4287885696914424E-2</v>
      </c>
      <c r="I219" s="4">
        <f t="shared" si="31"/>
        <v>2.2935779816513763E-3</v>
      </c>
      <c r="J219" s="4">
        <f t="shared" si="32"/>
        <v>-3.5193564605329312E-3</v>
      </c>
      <c r="K219" s="4">
        <f t="shared" si="33"/>
        <v>-1.4533401325854156E-2</v>
      </c>
      <c r="L219" s="4">
        <f t="shared" si="34"/>
        <v>0.33587786259541985</v>
      </c>
      <c r="M219" s="3">
        <f t="shared" si="27"/>
        <v>8</v>
      </c>
      <c r="N219" s="3">
        <f t="shared" si="28"/>
        <v>6</v>
      </c>
      <c r="O219" s="3">
        <f t="shared" si="29"/>
        <v>4</v>
      </c>
    </row>
    <row r="220" spans="1:15" x14ac:dyDescent="0.2">
      <c r="A220" s="2">
        <v>44050</v>
      </c>
      <c r="B220" s="3">
        <v>19487</v>
      </c>
      <c r="C220" s="3">
        <v>19460</v>
      </c>
      <c r="D220" s="3">
        <v>19605</v>
      </c>
      <c r="E220" s="3">
        <v>19225</v>
      </c>
      <c r="F220" s="3">
        <v>13430</v>
      </c>
      <c r="G220" s="7">
        <f t="shared" si="35"/>
        <v>1</v>
      </c>
      <c r="H220" s="5">
        <f t="shared" si="30"/>
        <v>1.6448213826779749E-3</v>
      </c>
      <c r="I220" s="4">
        <f t="shared" si="31"/>
        <v>-1.0424612255275871E-2</v>
      </c>
      <c r="J220" s="4">
        <f t="shared" si="32"/>
        <v>-1.0847628657921292E-2</v>
      </c>
      <c r="K220" s="4">
        <f t="shared" si="33"/>
        <v>-5.1746442432082798E-3</v>
      </c>
      <c r="L220" s="4">
        <f t="shared" si="34"/>
        <v>-0.30233766233766235</v>
      </c>
      <c r="M220" s="3">
        <f t="shared" si="27"/>
        <v>8</v>
      </c>
      <c r="N220" s="3">
        <f t="shared" si="28"/>
        <v>7</v>
      </c>
      <c r="O220" s="3">
        <f t="shared" si="29"/>
        <v>5</v>
      </c>
    </row>
    <row r="221" spans="1:15" x14ac:dyDescent="0.2">
      <c r="A221" s="2">
        <v>44053</v>
      </c>
      <c r="B221" s="3">
        <v>19613</v>
      </c>
      <c r="C221" s="3">
        <v>19665</v>
      </c>
      <c r="D221" s="3">
        <v>19760</v>
      </c>
      <c r="E221" s="3">
        <v>19430</v>
      </c>
      <c r="F221" s="3">
        <v>12590</v>
      </c>
      <c r="G221" s="7">
        <f t="shared" si="35"/>
        <v>1</v>
      </c>
      <c r="H221" s="5">
        <f t="shared" si="30"/>
        <v>6.4658490275568328E-3</v>
      </c>
      <c r="I221" s="4">
        <f t="shared" si="31"/>
        <v>1.0534429599177801E-2</v>
      </c>
      <c r="J221" s="4">
        <f t="shared" si="32"/>
        <v>7.9061463912267274E-3</v>
      </c>
      <c r="K221" s="4">
        <f t="shared" si="33"/>
        <v>1.0663198959687906E-2</v>
      </c>
      <c r="L221" s="4">
        <f t="shared" si="34"/>
        <v>-6.2546537602382726E-2</v>
      </c>
      <c r="M221" s="3">
        <f t="shared" si="27"/>
        <v>8</v>
      </c>
      <c r="N221" s="3">
        <f t="shared" si="28"/>
        <v>10</v>
      </c>
      <c r="O221" s="3">
        <f t="shared" si="29"/>
        <v>1</v>
      </c>
    </row>
    <row r="222" spans="1:15" x14ac:dyDescent="0.2">
      <c r="A222" s="2">
        <v>44054</v>
      </c>
      <c r="B222" s="3">
        <v>20187</v>
      </c>
      <c r="C222" s="3">
        <v>19800</v>
      </c>
      <c r="D222" s="3">
        <v>20290</v>
      </c>
      <c r="E222" s="3">
        <v>19800</v>
      </c>
      <c r="F222" s="3">
        <v>23590</v>
      </c>
      <c r="G222" s="7">
        <f t="shared" si="35"/>
        <v>1</v>
      </c>
      <c r="H222" s="5">
        <f t="shared" si="30"/>
        <v>2.9266302962320908E-2</v>
      </c>
      <c r="I222" s="4">
        <f t="shared" si="31"/>
        <v>6.8649885583524023E-3</v>
      </c>
      <c r="J222" s="4">
        <f t="shared" si="32"/>
        <v>2.6821862348178137E-2</v>
      </c>
      <c r="K222" s="4">
        <f t="shared" si="33"/>
        <v>1.9042717447246525E-2</v>
      </c>
      <c r="L222" s="4">
        <f t="shared" si="34"/>
        <v>0.87370929308975376</v>
      </c>
      <c r="M222" s="3">
        <f t="shared" si="27"/>
        <v>8</v>
      </c>
      <c r="N222" s="3">
        <f t="shared" si="28"/>
        <v>11</v>
      </c>
      <c r="O222" s="3">
        <f t="shared" si="29"/>
        <v>2</v>
      </c>
    </row>
    <row r="223" spans="1:15" x14ac:dyDescent="0.2">
      <c r="A223" s="2">
        <v>44055</v>
      </c>
      <c r="B223" s="3">
        <v>20409</v>
      </c>
      <c r="C223" s="3">
        <v>20075</v>
      </c>
      <c r="D223" s="3">
        <v>20470</v>
      </c>
      <c r="E223" s="3">
        <v>20070</v>
      </c>
      <c r="F223" s="3">
        <v>15100</v>
      </c>
      <c r="G223" s="7">
        <f t="shared" si="35"/>
        <v>1</v>
      </c>
      <c r="H223" s="5">
        <f t="shared" si="30"/>
        <v>1.0997176400653886E-2</v>
      </c>
      <c r="I223" s="4">
        <f t="shared" si="31"/>
        <v>1.3888888888888888E-2</v>
      </c>
      <c r="J223" s="4">
        <f t="shared" si="32"/>
        <v>8.8713652045342532E-3</v>
      </c>
      <c r="K223" s="4">
        <f t="shared" si="33"/>
        <v>1.3636363636363636E-2</v>
      </c>
      <c r="L223" s="4">
        <f t="shared" si="34"/>
        <v>-0.3598982619754133</v>
      </c>
      <c r="M223" s="3">
        <f t="shared" si="27"/>
        <v>8</v>
      </c>
      <c r="N223" s="3">
        <f t="shared" si="28"/>
        <v>12</v>
      </c>
      <c r="O223" s="3">
        <f t="shared" si="29"/>
        <v>3</v>
      </c>
    </row>
    <row r="224" spans="1:15" x14ac:dyDescent="0.2">
      <c r="A224" s="2">
        <v>44056</v>
      </c>
      <c r="B224" s="3">
        <v>20247</v>
      </c>
      <c r="C224" s="3">
        <v>20390</v>
      </c>
      <c r="D224" s="3">
        <v>20465</v>
      </c>
      <c r="E224" s="3">
        <v>20125</v>
      </c>
      <c r="F224" s="3">
        <v>12450</v>
      </c>
      <c r="G224" s="7">
        <f t="shared" si="35"/>
        <v>0</v>
      </c>
      <c r="H224" s="5">
        <f t="shared" si="30"/>
        <v>-7.9376745553432302E-3</v>
      </c>
      <c r="I224" s="4">
        <f t="shared" si="31"/>
        <v>1.5691158156911581E-2</v>
      </c>
      <c r="J224" s="4">
        <f t="shared" si="32"/>
        <v>-2.4425989252564728E-4</v>
      </c>
      <c r="K224" s="4">
        <f t="shared" si="33"/>
        <v>2.7404085700049826E-3</v>
      </c>
      <c r="L224" s="4">
        <f t="shared" si="34"/>
        <v>-0.17549668874172186</v>
      </c>
      <c r="M224" s="3">
        <f t="shared" si="27"/>
        <v>8</v>
      </c>
      <c r="N224" s="3">
        <f t="shared" si="28"/>
        <v>13</v>
      </c>
      <c r="O224" s="3">
        <f t="shared" si="29"/>
        <v>4</v>
      </c>
    </row>
    <row r="225" spans="1:15" x14ac:dyDescent="0.2">
      <c r="A225" s="2">
        <v>44057</v>
      </c>
      <c r="B225" s="3">
        <v>20013</v>
      </c>
      <c r="C225" s="3">
        <v>20245</v>
      </c>
      <c r="D225" s="3">
        <v>20280</v>
      </c>
      <c r="E225" s="3">
        <v>19800</v>
      </c>
      <c r="F225" s="3">
        <v>16760</v>
      </c>
      <c r="G225" s="7">
        <f t="shared" si="35"/>
        <v>0</v>
      </c>
      <c r="H225" s="5">
        <f t="shared" si="30"/>
        <v>-1.1557267743369388E-2</v>
      </c>
      <c r="I225" s="4">
        <f t="shared" si="31"/>
        <v>-7.1113290828837663E-3</v>
      </c>
      <c r="J225" s="4">
        <f t="shared" si="32"/>
        <v>-9.0398240899096025E-3</v>
      </c>
      <c r="K225" s="4">
        <f t="shared" si="33"/>
        <v>-1.6149068322981366E-2</v>
      </c>
      <c r="L225" s="4">
        <f t="shared" si="34"/>
        <v>0.3461847389558233</v>
      </c>
      <c r="M225" s="3">
        <f t="shared" si="27"/>
        <v>8</v>
      </c>
      <c r="N225" s="3">
        <f t="shared" si="28"/>
        <v>14</v>
      </c>
      <c r="O225" s="3">
        <f t="shared" si="29"/>
        <v>5</v>
      </c>
    </row>
    <row r="226" spans="1:15" x14ac:dyDescent="0.2">
      <c r="A226" s="2">
        <v>44060</v>
      </c>
      <c r="B226" s="3">
        <v>19954</v>
      </c>
      <c r="C226" s="3">
        <v>20015</v>
      </c>
      <c r="D226" s="3">
        <v>20120</v>
      </c>
      <c r="E226" s="3">
        <v>19840</v>
      </c>
      <c r="F226" s="3">
        <v>11400</v>
      </c>
      <c r="G226" s="7">
        <f t="shared" si="35"/>
        <v>0</v>
      </c>
      <c r="H226" s="5">
        <f t="shared" si="30"/>
        <v>-2.9480837455653826E-3</v>
      </c>
      <c r="I226" s="4">
        <f t="shared" si="31"/>
        <v>-1.1360829834527044E-2</v>
      </c>
      <c r="J226" s="4">
        <f t="shared" si="32"/>
        <v>-7.889546351084813E-3</v>
      </c>
      <c r="K226" s="4">
        <f t="shared" si="33"/>
        <v>2.0202020202020202E-3</v>
      </c>
      <c r="L226" s="4">
        <f t="shared" si="34"/>
        <v>-0.31980906921241048</v>
      </c>
      <c r="M226" s="3">
        <f t="shared" si="27"/>
        <v>8</v>
      </c>
      <c r="N226" s="3">
        <f t="shared" si="28"/>
        <v>17</v>
      </c>
      <c r="O226" s="3">
        <f t="shared" si="29"/>
        <v>1</v>
      </c>
    </row>
    <row r="227" spans="1:15" x14ac:dyDescent="0.2">
      <c r="A227" s="2">
        <v>44061</v>
      </c>
      <c r="B227" s="3">
        <v>19833</v>
      </c>
      <c r="C227" s="3">
        <v>19900</v>
      </c>
      <c r="D227" s="3">
        <v>20155</v>
      </c>
      <c r="E227" s="3">
        <v>19700</v>
      </c>
      <c r="F227" s="3">
        <v>18240</v>
      </c>
      <c r="G227" s="7">
        <f t="shared" si="35"/>
        <v>0</v>
      </c>
      <c r="H227" s="5">
        <f t="shared" si="30"/>
        <v>-6.063947078280044E-3</v>
      </c>
      <c r="I227" s="4">
        <f t="shared" si="31"/>
        <v>-5.7456907319510366E-3</v>
      </c>
      <c r="J227" s="4">
        <f t="shared" si="32"/>
        <v>1.7395626242544733E-3</v>
      </c>
      <c r="K227" s="4">
        <f t="shared" si="33"/>
        <v>-7.0564516129032256E-3</v>
      </c>
      <c r="L227" s="4">
        <f t="shared" si="34"/>
        <v>0.6</v>
      </c>
      <c r="M227" s="3">
        <f t="shared" si="27"/>
        <v>8</v>
      </c>
      <c r="N227" s="3">
        <f t="shared" si="28"/>
        <v>18</v>
      </c>
      <c r="O227" s="3">
        <f t="shared" si="29"/>
        <v>2</v>
      </c>
    </row>
    <row r="228" spans="1:15" x14ac:dyDescent="0.2">
      <c r="A228" s="2">
        <v>44062</v>
      </c>
      <c r="B228" s="3">
        <v>20039</v>
      </c>
      <c r="C228" s="3">
        <v>19835</v>
      </c>
      <c r="D228" s="3">
        <v>20070</v>
      </c>
      <c r="E228" s="3">
        <v>19720</v>
      </c>
      <c r="F228" s="3">
        <v>12160</v>
      </c>
      <c r="G228" s="7">
        <f t="shared" si="35"/>
        <v>1</v>
      </c>
      <c r="H228" s="5">
        <f t="shared" si="30"/>
        <v>1.038672918872586E-2</v>
      </c>
      <c r="I228" s="4">
        <f t="shared" si="31"/>
        <v>-3.2663316582914573E-3</v>
      </c>
      <c r="J228" s="4">
        <f t="shared" si="32"/>
        <v>-4.2173158025303895E-3</v>
      </c>
      <c r="K228" s="4">
        <f t="shared" si="33"/>
        <v>1.0152284263959391E-3</v>
      </c>
      <c r="L228" s="4">
        <f t="shared" si="34"/>
        <v>-0.33333333333333331</v>
      </c>
      <c r="M228" s="3">
        <f t="shared" si="27"/>
        <v>8</v>
      </c>
      <c r="N228" s="3">
        <f t="shared" si="28"/>
        <v>19</v>
      </c>
      <c r="O228" s="3">
        <f t="shared" si="29"/>
        <v>3</v>
      </c>
    </row>
    <row r="229" spans="1:15" x14ac:dyDescent="0.2">
      <c r="A229" s="2">
        <v>44063</v>
      </c>
      <c r="B229" s="3">
        <v>19774</v>
      </c>
      <c r="C229" s="3">
        <v>19835</v>
      </c>
      <c r="D229" s="3">
        <v>19915</v>
      </c>
      <c r="E229" s="3">
        <v>19700</v>
      </c>
      <c r="F229" s="3">
        <v>13970</v>
      </c>
      <c r="G229" s="7">
        <f t="shared" si="35"/>
        <v>0</v>
      </c>
      <c r="H229" s="5">
        <f t="shared" si="30"/>
        <v>-1.3224212785069115E-2</v>
      </c>
      <c r="I229" s="4">
        <f t="shared" si="31"/>
        <v>0</v>
      </c>
      <c r="J229" s="4">
        <f t="shared" si="32"/>
        <v>-7.7229696063776778E-3</v>
      </c>
      <c r="K229" s="4">
        <f t="shared" si="33"/>
        <v>-1.0141987829614604E-3</v>
      </c>
      <c r="L229" s="4">
        <f t="shared" si="34"/>
        <v>0.14884868421052633</v>
      </c>
      <c r="M229" s="3">
        <f t="shared" si="27"/>
        <v>8</v>
      </c>
      <c r="N229" s="3">
        <f t="shared" si="28"/>
        <v>20</v>
      </c>
      <c r="O229" s="3">
        <f t="shared" si="29"/>
        <v>4</v>
      </c>
    </row>
    <row r="230" spans="1:15" x14ac:dyDescent="0.2">
      <c r="A230" s="2">
        <v>44064</v>
      </c>
      <c r="B230" s="3">
        <v>19679</v>
      </c>
      <c r="C230" s="3">
        <v>19855</v>
      </c>
      <c r="D230" s="3">
        <v>19860</v>
      </c>
      <c r="E230" s="3">
        <v>19460</v>
      </c>
      <c r="F230" s="3">
        <v>17580</v>
      </c>
      <c r="G230" s="7">
        <f t="shared" si="35"/>
        <v>0</v>
      </c>
      <c r="H230" s="5">
        <f t="shared" si="30"/>
        <v>-4.8042884595934053E-3</v>
      </c>
      <c r="I230" s="4">
        <f t="shared" si="31"/>
        <v>1.008318628686665E-3</v>
      </c>
      <c r="J230" s="4">
        <f t="shared" si="32"/>
        <v>-2.7617373838814963E-3</v>
      </c>
      <c r="K230" s="4">
        <f t="shared" si="33"/>
        <v>-1.2182741116751269E-2</v>
      </c>
      <c r="L230" s="4">
        <f t="shared" si="34"/>
        <v>0.25841088045812455</v>
      </c>
      <c r="M230" s="3">
        <f t="shared" si="27"/>
        <v>8</v>
      </c>
      <c r="N230" s="3">
        <f t="shared" si="28"/>
        <v>21</v>
      </c>
      <c r="O230" s="3">
        <f t="shared" si="29"/>
        <v>5</v>
      </c>
    </row>
    <row r="231" spans="1:15" x14ac:dyDescent="0.2">
      <c r="A231" s="2">
        <v>44067</v>
      </c>
      <c r="B231" s="3">
        <v>20096</v>
      </c>
      <c r="C231" s="3">
        <v>19775</v>
      </c>
      <c r="D231" s="3">
        <v>20145</v>
      </c>
      <c r="E231" s="3">
        <v>19770</v>
      </c>
      <c r="F231" s="3">
        <v>18560</v>
      </c>
      <c r="G231" s="7">
        <f t="shared" si="35"/>
        <v>1</v>
      </c>
      <c r="H231" s="5">
        <f t="shared" si="30"/>
        <v>2.1190101123024545E-2</v>
      </c>
      <c r="I231" s="4">
        <f t="shared" si="31"/>
        <v>-4.029211785444472E-3</v>
      </c>
      <c r="J231" s="4">
        <f t="shared" si="32"/>
        <v>1.4350453172205438E-2</v>
      </c>
      <c r="K231" s="4">
        <f t="shared" si="33"/>
        <v>1.593011305241521E-2</v>
      </c>
      <c r="L231" s="4">
        <f t="shared" si="34"/>
        <v>5.5745164960182024E-2</v>
      </c>
      <c r="M231" s="3">
        <f t="shared" si="27"/>
        <v>8</v>
      </c>
      <c r="N231" s="3">
        <f t="shared" si="28"/>
        <v>24</v>
      </c>
      <c r="O231" s="3">
        <f t="shared" si="29"/>
        <v>1</v>
      </c>
    </row>
    <row r="232" spans="1:15" x14ac:dyDescent="0.2">
      <c r="A232" s="2">
        <v>44068</v>
      </c>
      <c r="B232" s="3">
        <v>20049</v>
      </c>
      <c r="C232" s="3">
        <v>20205</v>
      </c>
      <c r="D232" s="3">
        <v>20365</v>
      </c>
      <c r="E232" s="3">
        <v>19950</v>
      </c>
      <c r="F232" s="3">
        <v>18170</v>
      </c>
      <c r="G232" s="7">
        <f t="shared" si="35"/>
        <v>0</v>
      </c>
      <c r="H232" s="5">
        <f t="shared" si="30"/>
        <v>-2.3387738853503184E-3</v>
      </c>
      <c r="I232" s="4">
        <f t="shared" si="31"/>
        <v>2.1744627054361566E-2</v>
      </c>
      <c r="J232" s="4">
        <f t="shared" si="32"/>
        <v>1.0920824025812856E-2</v>
      </c>
      <c r="K232" s="4">
        <f t="shared" si="33"/>
        <v>9.104704097116844E-3</v>
      </c>
      <c r="L232" s="4">
        <f t="shared" si="34"/>
        <v>-2.1012931034482759E-2</v>
      </c>
      <c r="M232" s="3">
        <f t="shared" si="27"/>
        <v>8</v>
      </c>
      <c r="N232" s="3">
        <f t="shared" si="28"/>
        <v>25</v>
      </c>
      <c r="O232" s="3">
        <f t="shared" si="29"/>
        <v>2</v>
      </c>
    </row>
    <row r="233" spans="1:15" x14ac:dyDescent="0.2">
      <c r="A233" s="2">
        <v>44069</v>
      </c>
      <c r="B233" s="3">
        <v>20126</v>
      </c>
      <c r="C233" s="3">
        <v>20030</v>
      </c>
      <c r="D233" s="3">
        <v>20165</v>
      </c>
      <c r="E233" s="3">
        <v>19915</v>
      </c>
      <c r="F233" s="3">
        <v>13120</v>
      </c>
      <c r="G233" s="7">
        <f t="shared" si="35"/>
        <v>1</v>
      </c>
      <c r="H233" s="5">
        <f t="shared" si="30"/>
        <v>3.8405905531447952E-3</v>
      </c>
      <c r="I233" s="4">
        <f t="shared" si="31"/>
        <v>-8.6612224696857205E-3</v>
      </c>
      <c r="J233" s="4">
        <f t="shared" si="32"/>
        <v>-9.8207709305180458E-3</v>
      </c>
      <c r="K233" s="4">
        <f t="shared" si="33"/>
        <v>-1.7543859649122807E-3</v>
      </c>
      <c r="L233" s="4">
        <f t="shared" si="34"/>
        <v>-0.27793065492570168</v>
      </c>
      <c r="M233" s="3">
        <f t="shared" si="27"/>
        <v>8</v>
      </c>
      <c r="N233" s="3">
        <f t="shared" si="28"/>
        <v>26</v>
      </c>
      <c r="O233" s="3">
        <f t="shared" si="29"/>
        <v>3</v>
      </c>
    </row>
    <row r="234" spans="1:15" x14ac:dyDescent="0.2">
      <c r="A234" s="2">
        <v>44070</v>
      </c>
      <c r="B234" s="3">
        <v>19863</v>
      </c>
      <c r="C234" s="3">
        <v>20140</v>
      </c>
      <c r="D234" s="3">
        <v>20140</v>
      </c>
      <c r="E234" s="3">
        <v>19770</v>
      </c>
      <c r="F234" s="3">
        <v>17760</v>
      </c>
      <c r="G234" s="7">
        <f t="shared" si="35"/>
        <v>0</v>
      </c>
      <c r="H234" s="5">
        <f t="shared" si="30"/>
        <v>-1.3067673655967406E-2</v>
      </c>
      <c r="I234" s="4">
        <f t="shared" si="31"/>
        <v>5.4917623564653024E-3</v>
      </c>
      <c r="J234" s="4">
        <f t="shared" si="32"/>
        <v>-1.2397718819737169E-3</v>
      </c>
      <c r="K234" s="4">
        <f t="shared" si="33"/>
        <v>-7.2809440120512178E-3</v>
      </c>
      <c r="L234" s="4">
        <f t="shared" si="34"/>
        <v>0.35365853658536583</v>
      </c>
      <c r="M234" s="3">
        <f t="shared" si="27"/>
        <v>8</v>
      </c>
      <c r="N234" s="3">
        <f t="shared" si="28"/>
        <v>27</v>
      </c>
      <c r="O234" s="3">
        <f t="shared" si="29"/>
        <v>4</v>
      </c>
    </row>
    <row r="235" spans="1:15" x14ac:dyDescent="0.2">
      <c r="A235" s="2">
        <v>44071</v>
      </c>
      <c r="B235" s="3">
        <v>19831</v>
      </c>
      <c r="C235" s="3">
        <v>19960</v>
      </c>
      <c r="D235" s="3">
        <v>19990</v>
      </c>
      <c r="E235" s="3">
        <v>19670</v>
      </c>
      <c r="F235" s="3">
        <v>18870</v>
      </c>
      <c r="G235" s="7">
        <f t="shared" si="35"/>
        <v>0</v>
      </c>
      <c r="H235" s="5">
        <f t="shared" si="30"/>
        <v>-1.6110355938176509E-3</v>
      </c>
      <c r="I235" s="4">
        <f t="shared" si="31"/>
        <v>-8.9374379344587893E-3</v>
      </c>
      <c r="J235" s="4">
        <f t="shared" si="32"/>
        <v>-7.4478649453823239E-3</v>
      </c>
      <c r="K235" s="4">
        <f t="shared" si="33"/>
        <v>-5.0581689428426911E-3</v>
      </c>
      <c r="L235" s="4">
        <f t="shared" si="34"/>
        <v>6.25E-2</v>
      </c>
      <c r="M235" s="3">
        <f t="shared" si="27"/>
        <v>8</v>
      </c>
      <c r="N235" s="3">
        <f t="shared" si="28"/>
        <v>28</v>
      </c>
      <c r="O235" s="3">
        <f t="shared" si="29"/>
        <v>5</v>
      </c>
    </row>
    <row r="236" spans="1:15" x14ac:dyDescent="0.2">
      <c r="A236" s="2">
        <v>44074</v>
      </c>
      <c r="B236" s="3">
        <v>19624</v>
      </c>
      <c r="C236" s="3">
        <v>19965</v>
      </c>
      <c r="D236" s="3">
        <v>20080</v>
      </c>
      <c r="E236" s="3">
        <v>19570</v>
      </c>
      <c r="F236" s="3">
        <v>16610</v>
      </c>
      <c r="G236" s="7">
        <f t="shared" si="35"/>
        <v>0</v>
      </c>
      <c r="H236" s="5">
        <f t="shared" si="30"/>
        <v>-1.0438202813776411E-2</v>
      </c>
      <c r="I236" s="4">
        <f t="shared" si="31"/>
        <v>2.50501002004008E-4</v>
      </c>
      <c r="J236" s="4">
        <f t="shared" si="32"/>
        <v>4.5022511255627812E-3</v>
      </c>
      <c r="K236" s="4">
        <f t="shared" si="33"/>
        <v>-5.0838840874428059E-3</v>
      </c>
      <c r="L236" s="4">
        <f t="shared" si="34"/>
        <v>-0.11976682564917859</v>
      </c>
      <c r="M236" s="3">
        <f t="shared" si="27"/>
        <v>8</v>
      </c>
      <c r="N236" s="3">
        <f t="shared" si="28"/>
        <v>31</v>
      </c>
      <c r="O236" s="3">
        <f t="shared" si="29"/>
        <v>1</v>
      </c>
    </row>
    <row r="237" spans="1:15" x14ac:dyDescent="0.2">
      <c r="A237" s="2">
        <v>44075</v>
      </c>
      <c r="B237" s="3">
        <v>19585</v>
      </c>
      <c r="C237" s="3">
        <v>19765</v>
      </c>
      <c r="D237" s="3">
        <v>19860</v>
      </c>
      <c r="E237" s="3">
        <v>19425</v>
      </c>
      <c r="F237" s="3">
        <v>23320</v>
      </c>
      <c r="G237" s="7">
        <f t="shared" si="35"/>
        <v>0</v>
      </c>
      <c r="H237" s="5">
        <f t="shared" si="30"/>
        <v>-1.9873624133713822E-3</v>
      </c>
      <c r="I237" s="4">
        <f t="shared" si="31"/>
        <v>-1.0017530678687703E-2</v>
      </c>
      <c r="J237" s="4">
        <f t="shared" si="32"/>
        <v>-1.0956175298804782E-2</v>
      </c>
      <c r="K237" s="4">
        <f t="shared" si="33"/>
        <v>-7.4092999489013796E-3</v>
      </c>
      <c r="L237" s="4">
        <f t="shared" si="34"/>
        <v>0.40397350993377484</v>
      </c>
      <c r="M237" s="3">
        <f t="shared" si="27"/>
        <v>9</v>
      </c>
      <c r="N237" s="3">
        <f t="shared" si="28"/>
        <v>1</v>
      </c>
      <c r="O237" s="3">
        <f t="shared" si="29"/>
        <v>2</v>
      </c>
    </row>
    <row r="238" spans="1:15" x14ac:dyDescent="0.2">
      <c r="A238" s="2">
        <v>44076</v>
      </c>
      <c r="B238" s="3">
        <v>19826</v>
      </c>
      <c r="C238" s="3">
        <v>19705</v>
      </c>
      <c r="D238" s="3">
        <v>20040</v>
      </c>
      <c r="E238" s="3">
        <v>19690</v>
      </c>
      <c r="F238" s="3">
        <v>21890</v>
      </c>
      <c r="G238" s="7">
        <f t="shared" si="35"/>
        <v>1</v>
      </c>
      <c r="H238" s="5">
        <f t="shared" si="30"/>
        <v>1.2305335716109268E-2</v>
      </c>
      <c r="I238" s="4">
        <f t="shared" si="31"/>
        <v>-3.0356691120667846E-3</v>
      </c>
      <c r="J238" s="4">
        <f t="shared" si="32"/>
        <v>9.0634441087613302E-3</v>
      </c>
      <c r="K238" s="4">
        <f t="shared" si="33"/>
        <v>1.3642213642213642E-2</v>
      </c>
      <c r="L238" s="4">
        <f t="shared" si="34"/>
        <v>-6.1320754716981132E-2</v>
      </c>
      <c r="M238" s="3">
        <f t="shared" si="27"/>
        <v>9</v>
      </c>
      <c r="N238" s="3">
        <f t="shared" si="28"/>
        <v>2</v>
      </c>
      <c r="O238" s="3">
        <f t="shared" si="29"/>
        <v>3</v>
      </c>
    </row>
    <row r="239" spans="1:15" x14ac:dyDescent="0.2">
      <c r="A239" s="2">
        <v>44077</v>
      </c>
      <c r="B239" s="3">
        <v>19542</v>
      </c>
      <c r="C239" s="3">
        <v>19955</v>
      </c>
      <c r="D239" s="3">
        <v>20140</v>
      </c>
      <c r="E239" s="3">
        <v>19370</v>
      </c>
      <c r="F239" s="3">
        <v>26410</v>
      </c>
      <c r="G239" s="7">
        <f t="shared" si="35"/>
        <v>0</v>
      </c>
      <c r="H239" s="5">
        <f t="shared" si="30"/>
        <v>-1.432462423080803E-2</v>
      </c>
      <c r="I239" s="4">
        <f t="shared" si="31"/>
        <v>1.2687135244861709E-2</v>
      </c>
      <c r="J239" s="4">
        <f t="shared" si="32"/>
        <v>4.9900199600798403E-3</v>
      </c>
      <c r="K239" s="4">
        <f t="shared" si="33"/>
        <v>-1.6251904520060943E-2</v>
      </c>
      <c r="L239" s="4">
        <f t="shared" si="34"/>
        <v>0.20648698035632709</v>
      </c>
      <c r="M239" s="3">
        <f t="shared" si="27"/>
        <v>9</v>
      </c>
      <c r="N239" s="3">
        <f t="shared" si="28"/>
        <v>3</v>
      </c>
      <c r="O239" s="3">
        <f t="shared" si="29"/>
        <v>4</v>
      </c>
    </row>
    <row r="240" spans="1:15" x14ac:dyDescent="0.2">
      <c r="A240" s="2">
        <v>44078</v>
      </c>
      <c r="B240" s="3">
        <v>19368</v>
      </c>
      <c r="C240" s="3">
        <v>19500</v>
      </c>
      <c r="D240" s="3">
        <v>19780</v>
      </c>
      <c r="E240" s="3">
        <v>19245</v>
      </c>
      <c r="F240" s="3">
        <v>31850</v>
      </c>
      <c r="G240" s="7">
        <f t="shared" si="35"/>
        <v>0</v>
      </c>
      <c r="H240" s="5">
        <f t="shared" si="30"/>
        <v>-8.9038992938286765E-3</v>
      </c>
      <c r="I240" s="4">
        <f t="shared" si="31"/>
        <v>-2.2801302931596091E-2</v>
      </c>
      <c r="J240" s="4">
        <f t="shared" si="32"/>
        <v>-1.7874875868917579E-2</v>
      </c>
      <c r="K240" s="4">
        <f t="shared" si="33"/>
        <v>-6.4532782653588024E-3</v>
      </c>
      <c r="L240" s="4">
        <f t="shared" si="34"/>
        <v>0.2059825823551685</v>
      </c>
      <c r="M240" s="3">
        <f t="shared" si="27"/>
        <v>9</v>
      </c>
      <c r="N240" s="3">
        <f t="shared" si="28"/>
        <v>4</v>
      </c>
      <c r="O240" s="3">
        <f t="shared" si="29"/>
        <v>5</v>
      </c>
    </row>
    <row r="241" spans="1:15" x14ac:dyDescent="0.2">
      <c r="A241" s="2">
        <v>44081</v>
      </c>
      <c r="B241" s="3">
        <v>19711</v>
      </c>
      <c r="C241" s="3">
        <v>19540</v>
      </c>
      <c r="D241" s="3">
        <v>19995</v>
      </c>
      <c r="E241" s="3">
        <v>19445</v>
      </c>
      <c r="F241" s="3">
        <v>16720</v>
      </c>
      <c r="G241" s="7">
        <f t="shared" si="35"/>
        <v>1</v>
      </c>
      <c r="H241" s="5">
        <f t="shared" si="30"/>
        <v>1.7709624122263526E-2</v>
      </c>
      <c r="I241" s="4">
        <f t="shared" si="31"/>
        <v>2.0512820512820513E-3</v>
      </c>
      <c r="J241" s="4">
        <f t="shared" si="32"/>
        <v>1.0869565217391304E-2</v>
      </c>
      <c r="K241" s="4">
        <f t="shared" si="33"/>
        <v>1.0392309690828787E-2</v>
      </c>
      <c r="L241" s="4">
        <f t="shared" si="34"/>
        <v>-0.47503924646781792</v>
      </c>
      <c r="M241" s="3">
        <f t="shared" si="27"/>
        <v>9</v>
      </c>
      <c r="N241" s="3">
        <f t="shared" si="28"/>
        <v>7</v>
      </c>
      <c r="O241" s="3">
        <f t="shared" si="29"/>
        <v>1</v>
      </c>
    </row>
    <row r="242" spans="1:15" x14ac:dyDescent="0.2">
      <c r="A242" s="2">
        <v>44082</v>
      </c>
      <c r="B242" s="3">
        <v>19375</v>
      </c>
      <c r="C242" s="3">
        <v>19865</v>
      </c>
      <c r="D242" s="3">
        <v>19865</v>
      </c>
      <c r="E242" s="3">
        <v>19190</v>
      </c>
      <c r="F242" s="3">
        <v>28320</v>
      </c>
      <c r="G242" s="7">
        <f t="shared" si="35"/>
        <v>0</v>
      </c>
      <c r="H242" s="5">
        <f t="shared" si="30"/>
        <v>-1.7046319314088579E-2</v>
      </c>
      <c r="I242" s="4">
        <f t="shared" si="31"/>
        <v>1.6632548618219039E-2</v>
      </c>
      <c r="J242" s="4">
        <f t="shared" si="32"/>
        <v>-6.5016254063515883E-3</v>
      </c>
      <c r="K242" s="4">
        <f t="shared" si="33"/>
        <v>-1.3113911031113397E-2</v>
      </c>
      <c r="L242" s="4">
        <f t="shared" si="34"/>
        <v>0.69377990430622005</v>
      </c>
      <c r="M242" s="3">
        <f t="shared" si="27"/>
        <v>9</v>
      </c>
      <c r="N242" s="3">
        <f t="shared" si="28"/>
        <v>8</v>
      </c>
      <c r="O242" s="3">
        <f t="shared" si="29"/>
        <v>2</v>
      </c>
    </row>
    <row r="243" spans="1:15" x14ac:dyDescent="0.2">
      <c r="A243" s="2">
        <v>44083</v>
      </c>
      <c r="B243" s="3">
        <v>19767</v>
      </c>
      <c r="C243" s="3">
        <v>19335</v>
      </c>
      <c r="D243" s="3">
        <v>19865</v>
      </c>
      <c r="E243" s="3">
        <v>19280</v>
      </c>
      <c r="F243" s="3">
        <v>23540</v>
      </c>
      <c r="G243" s="7">
        <f t="shared" si="35"/>
        <v>1</v>
      </c>
      <c r="H243" s="5">
        <f t="shared" si="30"/>
        <v>2.0232258064516128E-2</v>
      </c>
      <c r="I243" s="4">
        <f t="shared" si="31"/>
        <v>-2.6680090611628491E-2</v>
      </c>
      <c r="J243" s="4">
        <f t="shared" si="32"/>
        <v>0</v>
      </c>
      <c r="K243" s="4">
        <f t="shared" si="33"/>
        <v>4.6899426784783741E-3</v>
      </c>
      <c r="L243" s="4">
        <f t="shared" si="34"/>
        <v>-0.16878531073446329</v>
      </c>
      <c r="M243" s="3">
        <f t="shared" si="27"/>
        <v>9</v>
      </c>
      <c r="N243" s="3">
        <f t="shared" si="28"/>
        <v>9</v>
      </c>
      <c r="O243" s="3">
        <f t="shared" si="29"/>
        <v>3</v>
      </c>
    </row>
    <row r="244" spans="1:15" x14ac:dyDescent="0.2">
      <c r="A244" s="2">
        <v>44084</v>
      </c>
      <c r="B244" s="3">
        <v>19813</v>
      </c>
      <c r="C244" s="3">
        <v>19835</v>
      </c>
      <c r="D244" s="3">
        <v>19975</v>
      </c>
      <c r="E244" s="3">
        <v>19630</v>
      </c>
      <c r="F244" s="3">
        <v>21460</v>
      </c>
      <c r="G244" s="7">
        <f t="shared" si="35"/>
        <v>1</v>
      </c>
      <c r="H244" s="5">
        <f t="shared" si="30"/>
        <v>2.3271108413011584E-3</v>
      </c>
      <c r="I244" s="4">
        <f t="shared" si="31"/>
        <v>2.5859839668994054E-2</v>
      </c>
      <c r="J244" s="4">
        <f t="shared" si="32"/>
        <v>5.5373772967530835E-3</v>
      </c>
      <c r="K244" s="4">
        <f t="shared" si="33"/>
        <v>1.8153526970954358E-2</v>
      </c>
      <c r="L244" s="4">
        <f t="shared" si="34"/>
        <v>-8.8360237892948168E-2</v>
      </c>
      <c r="M244" s="3">
        <f t="shared" si="27"/>
        <v>9</v>
      </c>
      <c r="N244" s="3">
        <f t="shared" si="28"/>
        <v>10</v>
      </c>
      <c r="O244" s="3">
        <f t="shared" si="29"/>
        <v>4</v>
      </c>
    </row>
    <row r="245" spans="1:15" x14ac:dyDescent="0.2">
      <c r="A245" s="2">
        <v>44085</v>
      </c>
      <c r="B245" s="3">
        <v>19823</v>
      </c>
      <c r="C245" s="3">
        <v>19790</v>
      </c>
      <c r="D245" s="3">
        <v>19875</v>
      </c>
      <c r="E245" s="3">
        <v>19690</v>
      </c>
      <c r="F245" s="3">
        <v>19090</v>
      </c>
      <c r="G245" s="7">
        <f t="shared" si="35"/>
        <v>1</v>
      </c>
      <c r="H245" s="5">
        <f t="shared" si="30"/>
        <v>5.0471912380760104E-4</v>
      </c>
      <c r="I245" s="4">
        <f t="shared" si="31"/>
        <v>-2.2687169145449962E-3</v>
      </c>
      <c r="J245" s="4">
        <f t="shared" si="32"/>
        <v>-5.0062578222778474E-3</v>
      </c>
      <c r="K245" s="4">
        <f t="shared" si="33"/>
        <v>3.0565461029037188E-3</v>
      </c>
      <c r="L245" s="4">
        <f t="shared" si="34"/>
        <v>-0.11043802423112768</v>
      </c>
      <c r="M245" s="3">
        <f t="shared" si="27"/>
        <v>9</v>
      </c>
      <c r="N245" s="3">
        <f t="shared" si="28"/>
        <v>11</v>
      </c>
      <c r="O245" s="3">
        <f t="shared" si="29"/>
        <v>5</v>
      </c>
    </row>
    <row r="246" spans="1:15" x14ac:dyDescent="0.2">
      <c r="A246" s="2">
        <v>44088</v>
      </c>
      <c r="B246" s="3">
        <v>19791</v>
      </c>
      <c r="C246" s="3">
        <v>19925</v>
      </c>
      <c r="D246" s="3">
        <v>19975</v>
      </c>
      <c r="E246" s="3">
        <v>19720</v>
      </c>
      <c r="F246" s="3">
        <v>32070</v>
      </c>
      <c r="G246" s="7">
        <f t="shared" si="35"/>
        <v>0</v>
      </c>
      <c r="H246" s="5">
        <f t="shared" si="30"/>
        <v>-1.6142864349493013E-3</v>
      </c>
      <c r="I246" s="4">
        <f t="shared" si="31"/>
        <v>6.8216270843860539E-3</v>
      </c>
      <c r="J246" s="4">
        <f t="shared" si="32"/>
        <v>5.0314465408805029E-3</v>
      </c>
      <c r="K246" s="4">
        <f t="shared" si="33"/>
        <v>1.5236160487557136E-3</v>
      </c>
      <c r="L246" s="4">
        <f t="shared" si="34"/>
        <v>0.679937139863803</v>
      </c>
      <c r="M246" s="3">
        <f t="shared" si="27"/>
        <v>9</v>
      </c>
      <c r="N246" s="3">
        <f t="shared" si="28"/>
        <v>14</v>
      </c>
      <c r="O246" s="3">
        <f t="shared" si="29"/>
        <v>1</v>
      </c>
    </row>
    <row r="247" spans="1:15" x14ac:dyDescent="0.2">
      <c r="A247" s="2">
        <v>44089</v>
      </c>
      <c r="B247" s="3">
        <v>19966</v>
      </c>
      <c r="C247" s="3">
        <v>19775</v>
      </c>
      <c r="D247" s="3">
        <v>20045</v>
      </c>
      <c r="E247" s="3">
        <v>19710</v>
      </c>
      <c r="F247" s="3">
        <v>43990</v>
      </c>
      <c r="G247" s="7">
        <f t="shared" si="35"/>
        <v>1</v>
      </c>
      <c r="H247" s="5">
        <f t="shared" si="30"/>
        <v>8.8424031125258953E-3</v>
      </c>
      <c r="I247" s="4">
        <f t="shared" si="31"/>
        <v>-7.5282308657465494E-3</v>
      </c>
      <c r="J247" s="4">
        <f t="shared" si="32"/>
        <v>3.5043804755944931E-3</v>
      </c>
      <c r="K247" s="4">
        <f t="shared" si="33"/>
        <v>-5.0709939148073022E-4</v>
      </c>
      <c r="L247" s="4">
        <f t="shared" si="34"/>
        <v>0.37168693483005927</v>
      </c>
      <c r="M247" s="3">
        <f t="shared" si="27"/>
        <v>9</v>
      </c>
      <c r="N247" s="3">
        <f t="shared" si="28"/>
        <v>15</v>
      </c>
      <c r="O247" s="3">
        <f t="shared" si="29"/>
        <v>2</v>
      </c>
    </row>
    <row r="248" spans="1:15" x14ac:dyDescent="0.2">
      <c r="A248" s="2">
        <v>44090</v>
      </c>
      <c r="B248" s="3">
        <v>19936</v>
      </c>
      <c r="C248" s="3">
        <v>19945</v>
      </c>
      <c r="D248" s="3">
        <v>20035</v>
      </c>
      <c r="E248" s="3">
        <v>19795</v>
      </c>
      <c r="F248" s="3">
        <v>29790</v>
      </c>
      <c r="G248" s="7">
        <f t="shared" si="35"/>
        <v>0</v>
      </c>
      <c r="H248" s="5">
        <f t="shared" si="30"/>
        <v>-1.5025543423820495E-3</v>
      </c>
      <c r="I248" s="4">
        <f t="shared" si="31"/>
        <v>8.5967130214917829E-3</v>
      </c>
      <c r="J248" s="4">
        <f t="shared" si="32"/>
        <v>-4.9887752556747322E-4</v>
      </c>
      <c r="K248" s="4">
        <f t="shared" si="33"/>
        <v>4.3125317097919835E-3</v>
      </c>
      <c r="L248" s="4">
        <f t="shared" si="34"/>
        <v>-0.32280063650829732</v>
      </c>
      <c r="M248" s="3">
        <f t="shared" si="27"/>
        <v>9</v>
      </c>
      <c r="N248" s="3">
        <f t="shared" si="28"/>
        <v>16</v>
      </c>
      <c r="O248" s="3">
        <f t="shared" si="29"/>
        <v>3</v>
      </c>
    </row>
    <row r="249" spans="1:15" x14ac:dyDescent="0.2">
      <c r="A249" s="2">
        <v>44091</v>
      </c>
      <c r="B249" s="3">
        <v>19752</v>
      </c>
      <c r="C249" s="3">
        <v>19740</v>
      </c>
      <c r="D249" s="3">
        <v>19815</v>
      </c>
      <c r="E249" s="3">
        <v>19625</v>
      </c>
      <c r="F249" s="3">
        <v>21700</v>
      </c>
      <c r="G249" s="7">
        <f t="shared" si="35"/>
        <v>0</v>
      </c>
      <c r="H249" s="5">
        <f t="shared" si="30"/>
        <v>-9.2295345104333876E-3</v>
      </c>
      <c r="I249" s="4">
        <f t="shared" si="31"/>
        <v>-1.0278265229380797E-2</v>
      </c>
      <c r="J249" s="4">
        <f t="shared" si="32"/>
        <v>-1.0980783628649862E-2</v>
      </c>
      <c r="K249" s="4">
        <f t="shared" si="33"/>
        <v>-8.5880272796160645E-3</v>
      </c>
      <c r="L249" s="4">
        <f t="shared" si="34"/>
        <v>-0.27156764014770057</v>
      </c>
      <c r="M249" s="3">
        <f t="shared" si="27"/>
        <v>9</v>
      </c>
      <c r="N249" s="3">
        <f t="shared" si="28"/>
        <v>17</v>
      </c>
      <c r="O249" s="3">
        <f t="shared" si="29"/>
        <v>4</v>
      </c>
    </row>
    <row r="250" spans="1:15" x14ac:dyDescent="0.2">
      <c r="A250" s="2">
        <v>44092</v>
      </c>
      <c r="B250" s="3">
        <v>19691</v>
      </c>
      <c r="C250" s="3">
        <v>19750</v>
      </c>
      <c r="D250" s="3">
        <v>19800</v>
      </c>
      <c r="E250" s="3">
        <v>19630</v>
      </c>
      <c r="F250" s="3">
        <v>110</v>
      </c>
      <c r="G250" s="7">
        <f t="shared" si="35"/>
        <v>0</v>
      </c>
      <c r="H250" s="5">
        <f t="shared" si="30"/>
        <v>-3.0882948562170921E-3</v>
      </c>
      <c r="I250" s="4">
        <f t="shared" si="31"/>
        <v>5.0658561296859173E-4</v>
      </c>
      <c r="J250" s="4">
        <f t="shared" si="32"/>
        <v>-7.5700227100681302E-4</v>
      </c>
      <c r="K250" s="4">
        <f t="shared" si="33"/>
        <v>2.5477707006369424E-4</v>
      </c>
      <c r="L250" s="4">
        <f t="shared" si="34"/>
        <v>-0.99493087557603688</v>
      </c>
      <c r="M250" s="3">
        <f t="shared" si="27"/>
        <v>9</v>
      </c>
      <c r="N250" s="3">
        <f t="shared" si="28"/>
        <v>18</v>
      </c>
      <c r="O250" s="3">
        <f t="shared" si="29"/>
        <v>5</v>
      </c>
    </row>
    <row r="251" spans="1:15" x14ac:dyDescent="0.2">
      <c r="A251" s="2">
        <v>44095</v>
      </c>
      <c r="B251" s="3">
        <v>18740</v>
      </c>
      <c r="C251" s="3">
        <v>19335</v>
      </c>
      <c r="D251" s="3">
        <v>19375</v>
      </c>
      <c r="E251" s="3">
        <v>18700</v>
      </c>
      <c r="F251" s="3">
        <v>37300</v>
      </c>
      <c r="G251" s="7">
        <f t="shared" si="35"/>
        <v>0</v>
      </c>
      <c r="H251" s="5">
        <f t="shared" si="30"/>
        <v>-4.8296175917932054E-2</v>
      </c>
      <c r="I251" s="4">
        <f t="shared" si="31"/>
        <v>-2.1012658227848102E-2</v>
      </c>
      <c r="J251" s="4">
        <f t="shared" si="32"/>
        <v>-2.1464646464646464E-2</v>
      </c>
      <c r="K251" s="4">
        <f t="shared" si="33"/>
        <v>-4.737646459500764E-2</v>
      </c>
      <c r="L251" s="4">
        <f t="shared" si="34"/>
        <v>338.09090909090907</v>
      </c>
      <c r="M251" s="3">
        <f t="shared" si="27"/>
        <v>9</v>
      </c>
      <c r="N251" s="3">
        <f t="shared" si="28"/>
        <v>21</v>
      </c>
      <c r="O251" s="3">
        <f t="shared" si="29"/>
        <v>1</v>
      </c>
    </row>
    <row r="252" spans="1:15" x14ac:dyDescent="0.2">
      <c r="A252" s="2">
        <v>44096</v>
      </c>
      <c r="B252" s="3">
        <v>18852</v>
      </c>
      <c r="C252" s="3">
        <v>18855</v>
      </c>
      <c r="D252" s="3">
        <v>19015</v>
      </c>
      <c r="E252" s="3">
        <v>18730</v>
      </c>
      <c r="F252" s="3">
        <v>22120</v>
      </c>
      <c r="G252" s="7">
        <f t="shared" si="35"/>
        <v>1</v>
      </c>
      <c r="H252" s="5">
        <f t="shared" si="30"/>
        <v>5.9765208110992528E-3</v>
      </c>
      <c r="I252" s="4">
        <f t="shared" si="31"/>
        <v>-2.482544608223429E-2</v>
      </c>
      <c r="J252" s="4">
        <f t="shared" si="32"/>
        <v>-1.8580645161290321E-2</v>
      </c>
      <c r="K252" s="4">
        <f t="shared" si="33"/>
        <v>1.6042780748663102E-3</v>
      </c>
      <c r="L252" s="4">
        <f t="shared" si="34"/>
        <v>-0.40697050938337803</v>
      </c>
      <c r="M252" s="3">
        <f t="shared" si="27"/>
        <v>9</v>
      </c>
      <c r="N252" s="3">
        <f t="shared" si="28"/>
        <v>22</v>
      </c>
      <c r="O252" s="3">
        <f t="shared" si="29"/>
        <v>2</v>
      </c>
    </row>
    <row r="253" spans="1:15" x14ac:dyDescent="0.2">
      <c r="A253" s="2">
        <v>44097</v>
      </c>
      <c r="B253" s="3">
        <v>18873</v>
      </c>
      <c r="C253" s="3">
        <v>19005</v>
      </c>
      <c r="D253" s="3">
        <v>19170</v>
      </c>
      <c r="E253" s="3">
        <v>18685</v>
      </c>
      <c r="F253" s="3">
        <v>19960</v>
      </c>
      <c r="G253" s="7">
        <f t="shared" si="35"/>
        <v>1</v>
      </c>
      <c r="H253" s="5">
        <f t="shared" si="30"/>
        <v>1.1139401654996818E-3</v>
      </c>
      <c r="I253" s="4">
        <f t="shared" si="31"/>
        <v>7.955449482895784E-3</v>
      </c>
      <c r="J253" s="4">
        <f t="shared" si="32"/>
        <v>8.1514593741782802E-3</v>
      </c>
      <c r="K253" s="4">
        <f t="shared" si="33"/>
        <v>-2.4025627335824882E-3</v>
      </c>
      <c r="L253" s="4">
        <f t="shared" si="34"/>
        <v>-9.7649186256781192E-2</v>
      </c>
      <c r="M253" s="3">
        <f t="shared" si="27"/>
        <v>9</v>
      </c>
      <c r="N253" s="3">
        <f t="shared" si="28"/>
        <v>23</v>
      </c>
      <c r="O253" s="3">
        <f t="shared" si="29"/>
        <v>3</v>
      </c>
    </row>
    <row r="254" spans="1:15" x14ac:dyDescent="0.2">
      <c r="A254" s="2">
        <v>44098</v>
      </c>
      <c r="B254" s="3">
        <v>18852</v>
      </c>
      <c r="C254" s="3">
        <v>18660</v>
      </c>
      <c r="D254" s="3">
        <v>19040</v>
      </c>
      <c r="E254" s="3">
        <v>18585</v>
      </c>
      <c r="F254" s="3">
        <v>24080</v>
      </c>
      <c r="G254" s="7">
        <f t="shared" si="35"/>
        <v>0</v>
      </c>
      <c r="H254" s="5">
        <f t="shared" si="30"/>
        <v>-1.1127006835161342E-3</v>
      </c>
      <c r="I254" s="4">
        <f t="shared" si="31"/>
        <v>-1.8153117600631413E-2</v>
      </c>
      <c r="J254" s="4">
        <f t="shared" si="32"/>
        <v>-6.7814293166405838E-3</v>
      </c>
      <c r="K254" s="4">
        <f t="shared" si="33"/>
        <v>-5.3518865400053522E-3</v>
      </c>
      <c r="L254" s="4">
        <f t="shared" si="34"/>
        <v>0.20641282565130262</v>
      </c>
      <c r="M254" s="3">
        <f t="shared" si="27"/>
        <v>9</v>
      </c>
      <c r="N254" s="3">
        <f t="shared" si="28"/>
        <v>24</v>
      </c>
      <c r="O254" s="3">
        <f t="shared" si="29"/>
        <v>4</v>
      </c>
    </row>
    <row r="255" spans="1:15" x14ac:dyDescent="0.2">
      <c r="A255" s="2">
        <v>44099</v>
      </c>
      <c r="B255" s="3">
        <v>18626</v>
      </c>
      <c r="C255" s="3">
        <v>18965</v>
      </c>
      <c r="D255" s="3">
        <v>18965</v>
      </c>
      <c r="E255" s="3">
        <v>18475</v>
      </c>
      <c r="F255" s="3">
        <v>24430</v>
      </c>
      <c r="G255" s="7">
        <f t="shared" si="35"/>
        <v>0</v>
      </c>
      <c r="H255" s="5">
        <f t="shared" si="30"/>
        <v>-1.1988117971568003E-2</v>
      </c>
      <c r="I255" s="4">
        <f t="shared" si="31"/>
        <v>1.6345123258306539E-2</v>
      </c>
      <c r="J255" s="4">
        <f t="shared" si="32"/>
        <v>-3.9390756302521007E-3</v>
      </c>
      <c r="K255" s="4">
        <f t="shared" si="33"/>
        <v>-5.9187516814635461E-3</v>
      </c>
      <c r="L255" s="4">
        <f t="shared" si="34"/>
        <v>1.4534883720930232E-2</v>
      </c>
      <c r="M255" s="3">
        <f t="shared" si="27"/>
        <v>9</v>
      </c>
      <c r="N255" s="3">
        <f t="shared" si="28"/>
        <v>25</v>
      </c>
      <c r="O255" s="3">
        <f t="shared" si="29"/>
        <v>5</v>
      </c>
    </row>
    <row r="256" spans="1:15" x14ac:dyDescent="0.2">
      <c r="A256" s="2">
        <v>44102</v>
      </c>
      <c r="B256" s="3">
        <v>19103</v>
      </c>
      <c r="C256" s="3">
        <v>18900</v>
      </c>
      <c r="D256" s="3">
        <v>19125</v>
      </c>
      <c r="E256" s="3">
        <v>18830</v>
      </c>
      <c r="F256" s="3">
        <v>22620</v>
      </c>
      <c r="G256" s="7">
        <f t="shared" si="35"/>
        <v>1</v>
      </c>
      <c r="H256" s="5">
        <f t="shared" si="30"/>
        <v>2.5609363255664125E-2</v>
      </c>
      <c r="I256" s="4">
        <f t="shared" si="31"/>
        <v>-3.4273662008963879E-3</v>
      </c>
      <c r="J256" s="4">
        <f t="shared" si="32"/>
        <v>8.4365937252834176E-3</v>
      </c>
      <c r="K256" s="4">
        <f t="shared" si="33"/>
        <v>1.9215155615696887E-2</v>
      </c>
      <c r="L256" s="4">
        <f t="shared" si="34"/>
        <v>-7.4089234547687274E-2</v>
      </c>
      <c r="M256" s="3">
        <f t="shared" si="27"/>
        <v>9</v>
      </c>
      <c r="N256" s="3">
        <f t="shared" si="28"/>
        <v>28</v>
      </c>
      <c r="O256" s="3">
        <f t="shared" si="29"/>
        <v>1</v>
      </c>
    </row>
    <row r="257" spans="1:15" x14ac:dyDescent="0.2">
      <c r="A257" s="2">
        <v>44103</v>
      </c>
      <c r="B257" s="3">
        <v>19024</v>
      </c>
      <c r="C257" s="3">
        <v>19150</v>
      </c>
      <c r="D257" s="3">
        <v>19165</v>
      </c>
      <c r="E257" s="3">
        <v>18925</v>
      </c>
      <c r="F257" s="3">
        <v>14990</v>
      </c>
      <c r="G257" s="7">
        <f t="shared" si="35"/>
        <v>0</v>
      </c>
      <c r="H257" s="5">
        <f t="shared" si="30"/>
        <v>-4.1354761032298595E-3</v>
      </c>
      <c r="I257" s="4">
        <f t="shared" si="31"/>
        <v>1.3227513227513227E-2</v>
      </c>
      <c r="J257" s="4">
        <f t="shared" si="32"/>
        <v>2.0915032679738564E-3</v>
      </c>
      <c r="K257" s="4">
        <f t="shared" si="33"/>
        <v>5.0451407328730748E-3</v>
      </c>
      <c r="L257" s="4">
        <f t="shared" si="34"/>
        <v>-0.33731211317418214</v>
      </c>
      <c r="M257" s="3">
        <f t="shared" si="27"/>
        <v>9</v>
      </c>
      <c r="N257" s="3">
        <f t="shared" si="28"/>
        <v>29</v>
      </c>
      <c r="O257" s="3">
        <f t="shared" si="29"/>
        <v>2</v>
      </c>
    </row>
    <row r="258" spans="1:15" x14ac:dyDescent="0.2">
      <c r="A258" s="2">
        <v>44104</v>
      </c>
      <c r="B258" s="3">
        <v>18965</v>
      </c>
      <c r="C258" s="3">
        <v>18830</v>
      </c>
      <c r="D258" s="3">
        <v>19090</v>
      </c>
      <c r="E258" s="3">
        <v>18780</v>
      </c>
      <c r="F258" s="3">
        <v>17490</v>
      </c>
      <c r="G258" s="7">
        <f t="shared" si="35"/>
        <v>0</v>
      </c>
      <c r="H258" s="5">
        <f t="shared" si="30"/>
        <v>-3.1013456686291001E-3</v>
      </c>
      <c r="I258" s="4">
        <f t="shared" si="31"/>
        <v>-1.671018276762402E-2</v>
      </c>
      <c r="J258" s="4">
        <f t="shared" si="32"/>
        <v>-3.9133837725019568E-3</v>
      </c>
      <c r="K258" s="4">
        <f t="shared" si="33"/>
        <v>-7.661822985468956E-3</v>
      </c>
      <c r="L258" s="4">
        <f t="shared" si="34"/>
        <v>0.16677785190126751</v>
      </c>
      <c r="M258" s="3">
        <f t="shared" ref="M258:M321" si="36">MONTH(A258)</f>
        <v>9</v>
      </c>
      <c r="N258" s="3">
        <f t="shared" ref="N258:N321" si="37">DAY(A258)</f>
        <v>30</v>
      </c>
      <c r="O258" s="3">
        <f t="shared" ref="O258:O321" si="38">WEEKDAY(A258,2)</f>
        <v>3</v>
      </c>
    </row>
    <row r="259" spans="1:15" x14ac:dyDescent="0.2">
      <c r="A259" s="2">
        <v>44105</v>
      </c>
      <c r="B259" s="3">
        <v>19001</v>
      </c>
      <c r="C259" s="3">
        <v>19040</v>
      </c>
      <c r="D259" s="3">
        <v>19215</v>
      </c>
      <c r="E259" s="3">
        <v>18905</v>
      </c>
      <c r="F259" s="3">
        <v>17940</v>
      </c>
      <c r="G259" s="7">
        <f t="shared" si="35"/>
        <v>1</v>
      </c>
      <c r="H259" s="5">
        <f t="shared" ref="H259:H322" si="39">(B259-B258)/B258</f>
        <v>1.8982335881887688E-3</v>
      </c>
      <c r="I259" s="4">
        <f t="shared" ref="I259:I322" si="40">(C259-C258)/C258</f>
        <v>1.1152416356877323E-2</v>
      </c>
      <c r="J259" s="4">
        <f t="shared" ref="J259:J322" si="41">(D259-D258)/D258</f>
        <v>6.5479308538501837E-3</v>
      </c>
      <c r="K259" s="4">
        <f t="shared" ref="K259:K322" si="42">(E259-E258)/E258</f>
        <v>6.6560170394036212E-3</v>
      </c>
      <c r="L259" s="4">
        <f t="shared" ref="L259:L322" si="43">(F259-F258)/F258</f>
        <v>2.5728987993138937E-2</v>
      </c>
      <c r="M259" s="3">
        <f t="shared" si="36"/>
        <v>10</v>
      </c>
      <c r="N259" s="3">
        <f t="shared" si="37"/>
        <v>1</v>
      </c>
      <c r="O259" s="3">
        <f t="shared" si="38"/>
        <v>4</v>
      </c>
    </row>
    <row r="260" spans="1:15" x14ac:dyDescent="0.2">
      <c r="A260" s="2">
        <v>44106</v>
      </c>
      <c r="B260" s="3">
        <v>18978</v>
      </c>
      <c r="C260" s="3">
        <v>18790</v>
      </c>
      <c r="D260" s="3">
        <v>19085</v>
      </c>
      <c r="E260" s="3">
        <v>18745</v>
      </c>
      <c r="F260" s="3">
        <v>19060</v>
      </c>
      <c r="G260" s="7">
        <f t="shared" ref="G260:G323" si="44">IF(H260&lt;0, 0, 1)</f>
        <v>0</v>
      </c>
      <c r="H260" s="5">
        <f t="shared" si="39"/>
        <v>-1.2104626072311983E-3</v>
      </c>
      <c r="I260" s="4">
        <f t="shared" si="40"/>
        <v>-1.3130252100840336E-2</v>
      </c>
      <c r="J260" s="4">
        <f t="shared" si="41"/>
        <v>-6.7655477491543065E-3</v>
      </c>
      <c r="K260" s="4">
        <f t="shared" si="42"/>
        <v>-8.4633694789738173E-3</v>
      </c>
      <c r="L260" s="4">
        <f t="shared" si="43"/>
        <v>6.243032329988852E-2</v>
      </c>
      <c r="M260" s="3">
        <f t="shared" si="36"/>
        <v>10</v>
      </c>
      <c r="N260" s="3">
        <f t="shared" si="37"/>
        <v>2</v>
      </c>
      <c r="O260" s="3">
        <f t="shared" si="38"/>
        <v>5</v>
      </c>
    </row>
    <row r="261" spans="1:15" x14ac:dyDescent="0.2">
      <c r="A261" s="2">
        <v>44109</v>
      </c>
      <c r="B261" s="3">
        <v>19197</v>
      </c>
      <c r="C261" s="3">
        <v>19160</v>
      </c>
      <c r="D261" s="3">
        <v>19335</v>
      </c>
      <c r="E261" s="3">
        <v>19025</v>
      </c>
      <c r="F261" s="3">
        <v>15690</v>
      </c>
      <c r="G261" s="7">
        <f t="shared" si="44"/>
        <v>1</v>
      </c>
      <c r="H261" s="5">
        <f t="shared" si="39"/>
        <v>1.15396775213405E-2</v>
      </c>
      <c r="I261" s="4">
        <f t="shared" si="40"/>
        <v>1.9691325172964343E-2</v>
      </c>
      <c r="J261" s="4">
        <f t="shared" si="41"/>
        <v>1.3099292638197537E-2</v>
      </c>
      <c r="K261" s="4">
        <f t="shared" si="42"/>
        <v>1.4937316617764738E-2</v>
      </c>
      <c r="L261" s="4">
        <f t="shared" si="43"/>
        <v>-0.17681007345225602</v>
      </c>
      <c r="M261" s="3">
        <f t="shared" si="36"/>
        <v>10</v>
      </c>
      <c r="N261" s="3">
        <f t="shared" si="37"/>
        <v>5</v>
      </c>
      <c r="O261" s="3">
        <f t="shared" si="38"/>
        <v>1</v>
      </c>
    </row>
    <row r="262" spans="1:15" x14ac:dyDescent="0.2">
      <c r="A262" s="2">
        <v>44110</v>
      </c>
      <c r="B262" s="3">
        <v>19366</v>
      </c>
      <c r="C262" s="3">
        <v>19260</v>
      </c>
      <c r="D262" s="3">
        <v>19460</v>
      </c>
      <c r="E262" s="3">
        <v>19130</v>
      </c>
      <c r="F262" s="3">
        <v>19740</v>
      </c>
      <c r="G262" s="7">
        <f t="shared" si="44"/>
        <v>1</v>
      </c>
      <c r="H262" s="5">
        <f t="shared" si="39"/>
        <v>8.8034588737823626E-3</v>
      </c>
      <c r="I262" s="4">
        <f t="shared" si="40"/>
        <v>5.2192066805845511E-3</v>
      </c>
      <c r="J262" s="4">
        <f t="shared" si="41"/>
        <v>6.4649599172485134E-3</v>
      </c>
      <c r="K262" s="4">
        <f t="shared" si="42"/>
        <v>5.5190538764783182E-3</v>
      </c>
      <c r="L262" s="4">
        <f t="shared" si="43"/>
        <v>0.25812619502868067</v>
      </c>
      <c r="M262" s="3">
        <f t="shared" si="36"/>
        <v>10</v>
      </c>
      <c r="N262" s="3">
        <f t="shared" si="37"/>
        <v>6</v>
      </c>
      <c r="O262" s="3">
        <f t="shared" si="38"/>
        <v>2</v>
      </c>
    </row>
    <row r="263" spans="1:15" x14ac:dyDescent="0.2">
      <c r="A263" s="2">
        <v>44111</v>
      </c>
      <c r="B263" s="3">
        <v>19369</v>
      </c>
      <c r="C263" s="3">
        <v>19295</v>
      </c>
      <c r="D263" s="3">
        <v>19445</v>
      </c>
      <c r="E263" s="3">
        <v>19265</v>
      </c>
      <c r="F263" s="3">
        <v>12180</v>
      </c>
      <c r="G263" s="7">
        <f t="shared" si="44"/>
        <v>1</v>
      </c>
      <c r="H263" s="5">
        <f t="shared" si="39"/>
        <v>1.5491066818134876E-4</v>
      </c>
      <c r="I263" s="4">
        <f t="shared" si="40"/>
        <v>1.8172377985462098E-3</v>
      </c>
      <c r="J263" s="4">
        <f t="shared" si="41"/>
        <v>-7.7081192189105854E-4</v>
      </c>
      <c r="K263" s="4">
        <f t="shared" si="42"/>
        <v>7.0569785676947204E-3</v>
      </c>
      <c r="L263" s="4">
        <f t="shared" si="43"/>
        <v>-0.38297872340425532</v>
      </c>
      <c r="M263" s="3">
        <f t="shared" si="36"/>
        <v>10</v>
      </c>
      <c r="N263" s="3">
        <f t="shared" si="37"/>
        <v>7</v>
      </c>
      <c r="O263" s="3">
        <f t="shared" si="38"/>
        <v>3</v>
      </c>
    </row>
    <row r="264" spans="1:15" x14ac:dyDescent="0.2">
      <c r="A264" s="2">
        <v>44112</v>
      </c>
      <c r="B264" s="3">
        <v>19523</v>
      </c>
      <c r="C264" s="3">
        <v>19440</v>
      </c>
      <c r="D264" s="3">
        <v>19570</v>
      </c>
      <c r="E264" s="3">
        <v>19400</v>
      </c>
      <c r="F264" s="3">
        <v>15850</v>
      </c>
      <c r="G264" s="7">
        <f t="shared" si="44"/>
        <v>1</v>
      </c>
      <c r="H264" s="5">
        <f t="shared" si="39"/>
        <v>7.9508492952656308E-3</v>
      </c>
      <c r="I264" s="4">
        <f t="shared" si="40"/>
        <v>7.514900233221042E-3</v>
      </c>
      <c r="J264" s="4">
        <f t="shared" si="41"/>
        <v>6.428387760349704E-3</v>
      </c>
      <c r="K264" s="4">
        <f t="shared" si="42"/>
        <v>7.007526602647288E-3</v>
      </c>
      <c r="L264" s="4">
        <f t="shared" si="43"/>
        <v>0.30131362889983582</v>
      </c>
      <c r="M264" s="3">
        <f t="shared" si="36"/>
        <v>10</v>
      </c>
      <c r="N264" s="3">
        <f t="shared" si="37"/>
        <v>8</v>
      </c>
      <c r="O264" s="3">
        <f t="shared" si="38"/>
        <v>4</v>
      </c>
    </row>
    <row r="265" spans="1:15" x14ac:dyDescent="0.2">
      <c r="A265" s="2">
        <v>44113</v>
      </c>
      <c r="B265" s="3">
        <v>19535</v>
      </c>
      <c r="C265" s="3">
        <v>19540</v>
      </c>
      <c r="D265" s="3">
        <v>19625</v>
      </c>
      <c r="E265" s="3">
        <v>19415</v>
      </c>
      <c r="F265" s="3">
        <v>12400</v>
      </c>
      <c r="G265" s="7">
        <f t="shared" si="44"/>
        <v>1</v>
      </c>
      <c r="H265" s="5">
        <f t="shared" si="39"/>
        <v>6.1465963222865337E-4</v>
      </c>
      <c r="I265" s="4">
        <f t="shared" si="40"/>
        <v>5.1440329218106996E-3</v>
      </c>
      <c r="J265" s="4">
        <f t="shared" si="41"/>
        <v>2.810424118548799E-3</v>
      </c>
      <c r="K265" s="4">
        <f t="shared" si="42"/>
        <v>7.7319587628865976E-4</v>
      </c>
      <c r="L265" s="4">
        <f t="shared" si="43"/>
        <v>-0.21766561514195584</v>
      </c>
      <c r="M265" s="3">
        <f t="shared" si="36"/>
        <v>10</v>
      </c>
      <c r="N265" s="3">
        <f t="shared" si="37"/>
        <v>9</v>
      </c>
      <c r="O265" s="3">
        <f t="shared" si="38"/>
        <v>5</v>
      </c>
    </row>
    <row r="266" spans="1:15" x14ac:dyDescent="0.2">
      <c r="A266" s="2">
        <v>44116</v>
      </c>
      <c r="B266" s="3">
        <v>19651</v>
      </c>
      <c r="C266" s="3">
        <v>19645</v>
      </c>
      <c r="D266" s="3">
        <v>19725</v>
      </c>
      <c r="E266" s="3">
        <v>19500</v>
      </c>
      <c r="F266" s="3">
        <v>12840</v>
      </c>
      <c r="G266" s="7">
        <f t="shared" si="44"/>
        <v>1</v>
      </c>
      <c r="H266" s="5">
        <f t="shared" si="39"/>
        <v>5.9380598925006401E-3</v>
      </c>
      <c r="I266" s="4">
        <f t="shared" si="40"/>
        <v>5.3735926305015355E-3</v>
      </c>
      <c r="J266" s="4">
        <f t="shared" si="41"/>
        <v>5.0955414012738851E-3</v>
      </c>
      <c r="K266" s="4">
        <f t="shared" si="42"/>
        <v>4.3780582024208091E-3</v>
      </c>
      <c r="L266" s="4">
        <f t="shared" si="43"/>
        <v>3.5483870967741936E-2</v>
      </c>
      <c r="M266" s="3">
        <f t="shared" si="36"/>
        <v>10</v>
      </c>
      <c r="N266" s="3">
        <f t="shared" si="37"/>
        <v>12</v>
      </c>
      <c r="O266" s="3">
        <f t="shared" si="38"/>
        <v>1</v>
      </c>
    </row>
    <row r="267" spans="1:15" x14ac:dyDescent="0.2">
      <c r="A267" s="2">
        <v>44117</v>
      </c>
      <c r="B267" s="3">
        <v>19501</v>
      </c>
      <c r="C267" s="3">
        <v>19690</v>
      </c>
      <c r="D267" s="3">
        <v>19695</v>
      </c>
      <c r="E267" s="3">
        <v>19425</v>
      </c>
      <c r="F267" s="3">
        <v>15290</v>
      </c>
      <c r="G267" s="7">
        <f t="shared" si="44"/>
        <v>0</v>
      </c>
      <c r="H267" s="5">
        <f t="shared" si="39"/>
        <v>-7.6331993282784593E-3</v>
      </c>
      <c r="I267" s="4">
        <f t="shared" si="40"/>
        <v>2.2906592008144567E-3</v>
      </c>
      <c r="J267" s="4">
        <f t="shared" si="41"/>
        <v>-1.520912547528517E-3</v>
      </c>
      <c r="K267" s="4">
        <f t="shared" si="42"/>
        <v>-3.8461538461538464E-3</v>
      </c>
      <c r="L267" s="4">
        <f t="shared" si="43"/>
        <v>0.19080996884735202</v>
      </c>
      <c r="M267" s="3">
        <f t="shared" si="36"/>
        <v>10</v>
      </c>
      <c r="N267" s="3">
        <f t="shared" si="37"/>
        <v>13</v>
      </c>
      <c r="O267" s="3">
        <f t="shared" si="38"/>
        <v>2</v>
      </c>
    </row>
    <row r="268" spans="1:15" x14ac:dyDescent="0.2">
      <c r="A268" s="2">
        <v>44118</v>
      </c>
      <c r="B268" s="3">
        <v>19558</v>
      </c>
      <c r="C268" s="3">
        <v>19515</v>
      </c>
      <c r="D268" s="3">
        <v>19680</v>
      </c>
      <c r="E268" s="3">
        <v>19450</v>
      </c>
      <c r="F268" s="3">
        <v>16100</v>
      </c>
      <c r="G268" s="7">
        <f t="shared" si="44"/>
        <v>1</v>
      </c>
      <c r="H268" s="5">
        <f t="shared" si="39"/>
        <v>2.9229270293831084E-3</v>
      </c>
      <c r="I268" s="4">
        <f t="shared" si="40"/>
        <v>-8.8877602844083282E-3</v>
      </c>
      <c r="J268" s="4">
        <f t="shared" si="41"/>
        <v>-7.6161462300076163E-4</v>
      </c>
      <c r="K268" s="4">
        <f t="shared" si="42"/>
        <v>1.287001287001287E-3</v>
      </c>
      <c r="L268" s="4">
        <f t="shared" si="43"/>
        <v>5.2975801177240024E-2</v>
      </c>
      <c r="M268" s="3">
        <f t="shared" si="36"/>
        <v>10</v>
      </c>
      <c r="N268" s="3">
        <f t="shared" si="37"/>
        <v>14</v>
      </c>
      <c r="O268" s="3">
        <f t="shared" si="38"/>
        <v>3</v>
      </c>
    </row>
    <row r="269" spans="1:15" x14ac:dyDescent="0.2">
      <c r="A269" s="2">
        <v>44119</v>
      </c>
      <c r="B269" s="3">
        <v>19006</v>
      </c>
      <c r="C269" s="3">
        <v>19455</v>
      </c>
      <c r="D269" s="3">
        <v>19455</v>
      </c>
      <c r="E269" s="3">
        <v>18895</v>
      </c>
      <c r="F269" s="3">
        <v>27660</v>
      </c>
      <c r="G269" s="7">
        <f t="shared" si="44"/>
        <v>0</v>
      </c>
      <c r="H269" s="5">
        <f t="shared" si="39"/>
        <v>-2.822374475917783E-2</v>
      </c>
      <c r="I269" s="4">
        <f t="shared" si="40"/>
        <v>-3.0745580322828594E-3</v>
      </c>
      <c r="J269" s="4">
        <f t="shared" si="41"/>
        <v>-1.1432926829268292E-2</v>
      </c>
      <c r="K269" s="4">
        <f t="shared" si="42"/>
        <v>-2.853470437017995E-2</v>
      </c>
      <c r="L269" s="4">
        <f t="shared" si="43"/>
        <v>0.71801242236024843</v>
      </c>
      <c r="M269" s="3">
        <f t="shared" si="36"/>
        <v>10</v>
      </c>
      <c r="N269" s="3">
        <f t="shared" si="37"/>
        <v>15</v>
      </c>
      <c r="O269" s="3">
        <f t="shared" si="38"/>
        <v>4</v>
      </c>
    </row>
    <row r="270" spans="1:15" x14ac:dyDescent="0.2">
      <c r="A270" s="2">
        <v>44120</v>
      </c>
      <c r="B270" s="3">
        <v>19333</v>
      </c>
      <c r="C270" s="3">
        <v>19110</v>
      </c>
      <c r="D270" s="3">
        <v>19400</v>
      </c>
      <c r="E270" s="3">
        <v>18975</v>
      </c>
      <c r="F270" s="3">
        <v>24430</v>
      </c>
      <c r="G270" s="7">
        <f t="shared" si="44"/>
        <v>1</v>
      </c>
      <c r="H270" s="5">
        <f t="shared" si="39"/>
        <v>1.7205093128485741E-2</v>
      </c>
      <c r="I270" s="4">
        <f t="shared" si="40"/>
        <v>-1.7733230531996914E-2</v>
      </c>
      <c r="J270" s="4">
        <f t="shared" si="41"/>
        <v>-2.8270367514777691E-3</v>
      </c>
      <c r="K270" s="4">
        <f t="shared" si="42"/>
        <v>4.2339243186028047E-3</v>
      </c>
      <c r="L270" s="4">
        <f t="shared" si="43"/>
        <v>-0.11677512653651483</v>
      </c>
      <c r="M270" s="3">
        <f t="shared" si="36"/>
        <v>10</v>
      </c>
      <c r="N270" s="3">
        <f t="shared" si="37"/>
        <v>16</v>
      </c>
      <c r="O270" s="3">
        <f t="shared" si="38"/>
        <v>5</v>
      </c>
    </row>
    <row r="271" spans="1:15" x14ac:dyDescent="0.2">
      <c r="A271" s="2">
        <v>44123</v>
      </c>
      <c r="B271" s="3">
        <v>19328</v>
      </c>
      <c r="C271" s="3">
        <v>19420</v>
      </c>
      <c r="D271" s="3">
        <v>19540</v>
      </c>
      <c r="E271" s="3">
        <v>19100</v>
      </c>
      <c r="F271" s="3">
        <v>14140</v>
      </c>
      <c r="G271" s="7">
        <f t="shared" si="44"/>
        <v>0</v>
      </c>
      <c r="H271" s="5">
        <f t="shared" si="39"/>
        <v>-2.586251487094605E-4</v>
      </c>
      <c r="I271" s="4">
        <f t="shared" si="40"/>
        <v>1.6221873364730507E-2</v>
      </c>
      <c r="J271" s="4">
        <f t="shared" si="41"/>
        <v>7.2164948453608251E-3</v>
      </c>
      <c r="K271" s="4">
        <f t="shared" si="42"/>
        <v>6.587615283267457E-3</v>
      </c>
      <c r="L271" s="4">
        <f t="shared" si="43"/>
        <v>-0.42120343839541546</v>
      </c>
      <c r="M271" s="3">
        <f t="shared" si="36"/>
        <v>10</v>
      </c>
      <c r="N271" s="3">
        <f t="shared" si="37"/>
        <v>19</v>
      </c>
      <c r="O271" s="3">
        <f t="shared" si="38"/>
        <v>1</v>
      </c>
    </row>
    <row r="272" spans="1:15" x14ac:dyDescent="0.2">
      <c r="A272" s="2">
        <v>44124</v>
      </c>
      <c r="B272" s="3">
        <v>19436</v>
      </c>
      <c r="C272" s="3">
        <v>19180</v>
      </c>
      <c r="D272" s="3">
        <v>19515</v>
      </c>
      <c r="E272" s="3">
        <v>19135</v>
      </c>
      <c r="F272" s="3">
        <v>15630</v>
      </c>
      <c r="G272" s="7">
        <f t="shared" si="44"/>
        <v>1</v>
      </c>
      <c r="H272" s="5">
        <f t="shared" si="39"/>
        <v>5.5877483443708608E-3</v>
      </c>
      <c r="I272" s="4">
        <f t="shared" si="40"/>
        <v>-1.2358393408856848E-2</v>
      </c>
      <c r="J272" s="4">
        <f t="shared" si="41"/>
        <v>-1.2794268167860799E-3</v>
      </c>
      <c r="K272" s="4">
        <f t="shared" si="42"/>
        <v>1.8324607329842932E-3</v>
      </c>
      <c r="L272" s="4">
        <f t="shared" si="43"/>
        <v>0.10537482319660538</v>
      </c>
      <c r="M272" s="3">
        <f t="shared" si="36"/>
        <v>10</v>
      </c>
      <c r="N272" s="3">
        <f t="shared" si="37"/>
        <v>20</v>
      </c>
      <c r="O272" s="3">
        <f t="shared" si="38"/>
        <v>2</v>
      </c>
    </row>
    <row r="273" spans="1:15" x14ac:dyDescent="0.2">
      <c r="A273" s="2">
        <v>44125</v>
      </c>
      <c r="B273" s="3">
        <v>19028</v>
      </c>
      <c r="C273" s="3">
        <v>19485</v>
      </c>
      <c r="D273" s="3">
        <v>19535</v>
      </c>
      <c r="E273" s="3">
        <v>18970</v>
      </c>
      <c r="F273" s="3">
        <v>24010</v>
      </c>
      <c r="G273" s="7">
        <f t="shared" si="44"/>
        <v>0</v>
      </c>
      <c r="H273" s="5">
        <f t="shared" si="39"/>
        <v>-2.0991973657131097E-2</v>
      </c>
      <c r="I273" s="4">
        <f t="shared" si="40"/>
        <v>1.5901981230448385E-2</v>
      </c>
      <c r="J273" s="4">
        <f t="shared" si="41"/>
        <v>1.0248526774276198E-3</v>
      </c>
      <c r="K273" s="4">
        <f t="shared" si="42"/>
        <v>-8.6229422524170367E-3</v>
      </c>
      <c r="L273" s="4">
        <f t="shared" si="43"/>
        <v>0.53614843250159949</v>
      </c>
      <c r="M273" s="3">
        <f t="shared" si="36"/>
        <v>10</v>
      </c>
      <c r="N273" s="3">
        <f t="shared" si="37"/>
        <v>21</v>
      </c>
      <c r="O273" s="3">
        <f t="shared" si="38"/>
        <v>3</v>
      </c>
    </row>
    <row r="274" spans="1:15" x14ac:dyDescent="0.2">
      <c r="A274" s="2">
        <v>44126</v>
      </c>
      <c r="B274" s="3">
        <v>19004</v>
      </c>
      <c r="C274" s="3">
        <v>18930</v>
      </c>
      <c r="D274" s="3">
        <v>19110</v>
      </c>
      <c r="E274" s="3">
        <v>18785</v>
      </c>
      <c r="F274" s="3">
        <v>22100</v>
      </c>
      <c r="G274" s="7">
        <f t="shared" si="44"/>
        <v>0</v>
      </c>
      <c r="H274" s="5">
        <f t="shared" si="39"/>
        <v>-1.2612991381122556E-3</v>
      </c>
      <c r="I274" s="4">
        <f t="shared" si="40"/>
        <v>-2.848344880677444E-2</v>
      </c>
      <c r="J274" s="4">
        <f t="shared" si="41"/>
        <v>-2.1755822882006656E-2</v>
      </c>
      <c r="K274" s="4">
        <f t="shared" si="42"/>
        <v>-9.7522403795466533E-3</v>
      </c>
      <c r="L274" s="4">
        <f t="shared" si="43"/>
        <v>-7.9550187421907545E-2</v>
      </c>
      <c r="M274" s="3">
        <f t="shared" si="36"/>
        <v>10</v>
      </c>
      <c r="N274" s="3">
        <f t="shared" si="37"/>
        <v>22</v>
      </c>
      <c r="O274" s="3">
        <f t="shared" si="38"/>
        <v>4</v>
      </c>
    </row>
    <row r="275" spans="1:15" x14ac:dyDescent="0.2">
      <c r="A275" s="2">
        <v>44127</v>
      </c>
      <c r="B275" s="3">
        <v>19219</v>
      </c>
      <c r="C275" s="3">
        <v>19050</v>
      </c>
      <c r="D275" s="3">
        <v>19315</v>
      </c>
      <c r="E275" s="3">
        <v>18980</v>
      </c>
      <c r="F275" s="3">
        <v>17190</v>
      </c>
      <c r="G275" s="7">
        <f t="shared" si="44"/>
        <v>1</v>
      </c>
      <c r="H275" s="5">
        <f t="shared" si="39"/>
        <v>1.1313407703641339E-2</v>
      </c>
      <c r="I275" s="4">
        <f t="shared" si="40"/>
        <v>6.3391442155309036E-3</v>
      </c>
      <c r="J275" s="4">
        <f t="shared" si="41"/>
        <v>1.0727367870225013E-2</v>
      </c>
      <c r="K275" s="4">
        <f t="shared" si="42"/>
        <v>1.0380622837370242E-2</v>
      </c>
      <c r="L275" s="4">
        <f t="shared" si="43"/>
        <v>-0.22217194570135745</v>
      </c>
      <c r="M275" s="3">
        <f t="shared" si="36"/>
        <v>10</v>
      </c>
      <c r="N275" s="3">
        <f t="shared" si="37"/>
        <v>23</v>
      </c>
      <c r="O275" s="3">
        <f t="shared" si="38"/>
        <v>5</v>
      </c>
    </row>
    <row r="276" spans="1:15" x14ac:dyDescent="0.2">
      <c r="A276" s="2">
        <v>44130</v>
      </c>
      <c r="B276" s="3">
        <v>18889</v>
      </c>
      <c r="C276" s="3">
        <v>18890</v>
      </c>
      <c r="D276" s="3">
        <v>19145</v>
      </c>
      <c r="E276" s="3">
        <v>18795</v>
      </c>
      <c r="F276" s="3">
        <v>19090</v>
      </c>
      <c r="G276" s="7">
        <f t="shared" si="44"/>
        <v>0</v>
      </c>
      <c r="H276" s="5">
        <f t="shared" si="39"/>
        <v>-1.7170508351110881E-2</v>
      </c>
      <c r="I276" s="4">
        <f t="shared" si="40"/>
        <v>-8.3989501312335957E-3</v>
      </c>
      <c r="J276" s="4">
        <f t="shared" si="41"/>
        <v>-8.8014496505306756E-3</v>
      </c>
      <c r="K276" s="4">
        <f t="shared" si="42"/>
        <v>-9.7471022128556382E-3</v>
      </c>
      <c r="L276" s="4">
        <f t="shared" si="43"/>
        <v>0.11052937754508435</v>
      </c>
      <c r="M276" s="3">
        <f t="shared" si="36"/>
        <v>10</v>
      </c>
      <c r="N276" s="3">
        <f t="shared" si="37"/>
        <v>26</v>
      </c>
      <c r="O276" s="3">
        <f t="shared" si="38"/>
        <v>1</v>
      </c>
    </row>
    <row r="277" spans="1:15" x14ac:dyDescent="0.2">
      <c r="A277" s="2">
        <v>44131</v>
      </c>
      <c r="B277" s="3">
        <v>18602</v>
      </c>
      <c r="C277" s="3">
        <v>18980</v>
      </c>
      <c r="D277" s="3">
        <v>19015</v>
      </c>
      <c r="E277" s="3">
        <v>18400</v>
      </c>
      <c r="F277" s="3">
        <v>22800</v>
      </c>
      <c r="G277" s="7">
        <f t="shared" si="44"/>
        <v>0</v>
      </c>
      <c r="H277" s="5">
        <f t="shared" si="39"/>
        <v>-1.5194028270421938E-2</v>
      </c>
      <c r="I277" s="4">
        <f t="shared" si="40"/>
        <v>4.7644256220222342E-3</v>
      </c>
      <c r="J277" s="4">
        <f t="shared" si="41"/>
        <v>-6.7902846696265345E-3</v>
      </c>
      <c r="K277" s="4">
        <f t="shared" si="42"/>
        <v>-2.1016227720138336E-2</v>
      </c>
      <c r="L277" s="4">
        <f t="shared" si="43"/>
        <v>0.19434258774227345</v>
      </c>
      <c r="M277" s="3">
        <f t="shared" si="36"/>
        <v>10</v>
      </c>
      <c r="N277" s="3">
        <f t="shared" si="37"/>
        <v>27</v>
      </c>
      <c r="O277" s="3">
        <f t="shared" si="38"/>
        <v>2</v>
      </c>
    </row>
    <row r="278" spans="1:15" x14ac:dyDescent="0.2">
      <c r="A278" s="2">
        <v>44132</v>
      </c>
      <c r="B278" s="3">
        <v>17851</v>
      </c>
      <c r="C278" s="3">
        <v>18385</v>
      </c>
      <c r="D278" s="3">
        <v>18395</v>
      </c>
      <c r="E278" s="3">
        <v>17750</v>
      </c>
      <c r="F278" s="3">
        <v>38800</v>
      </c>
      <c r="G278" s="7">
        <f t="shared" si="44"/>
        <v>0</v>
      </c>
      <c r="H278" s="5">
        <f t="shared" si="39"/>
        <v>-4.0372003010428988E-2</v>
      </c>
      <c r="I278" s="4">
        <f t="shared" si="40"/>
        <v>-3.1348788198103265E-2</v>
      </c>
      <c r="J278" s="4">
        <f t="shared" si="41"/>
        <v>-3.2605837496713121E-2</v>
      </c>
      <c r="K278" s="4">
        <f t="shared" si="42"/>
        <v>-3.5326086956521736E-2</v>
      </c>
      <c r="L278" s="4">
        <f t="shared" si="43"/>
        <v>0.70175438596491224</v>
      </c>
      <c r="M278" s="3">
        <f t="shared" si="36"/>
        <v>10</v>
      </c>
      <c r="N278" s="3">
        <f t="shared" si="37"/>
        <v>28</v>
      </c>
      <c r="O278" s="3">
        <f t="shared" si="38"/>
        <v>3</v>
      </c>
    </row>
    <row r="279" spans="1:15" x14ac:dyDescent="0.2">
      <c r="A279" s="2">
        <v>44133</v>
      </c>
      <c r="B279" s="3">
        <v>17805</v>
      </c>
      <c r="C279" s="3">
        <v>17945</v>
      </c>
      <c r="D279" s="3">
        <v>18025</v>
      </c>
      <c r="E279" s="3">
        <v>17575</v>
      </c>
      <c r="F279" s="3">
        <v>31180</v>
      </c>
      <c r="G279" s="7">
        <f t="shared" si="44"/>
        <v>0</v>
      </c>
      <c r="H279" s="5">
        <f t="shared" si="39"/>
        <v>-2.5768864489384346E-3</v>
      </c>
      <c r="I279" s="4">
        <f t="shared" si="40"/>
        <v>-2.3932553712265433E-2</v>
      </c>
      <c r="J279" s="4">
        <f t="shared" si="41"/>
        <v>-2.0114161456917641E-2</v>
      </c>
      <c r="K279" s="4">
        <f t="shared" si="42"/>
        <v>-9.8591549295774655E-3</v>
      </c>
      <c r="L279" s="4">
        <f t="shared" si="43"/>
        <v>-0.19639175257731958</v>
      </c>
      <c r="M279" s="3">
        <f t="shared" si="36"/>
        <v>10</v>
      </c>
      <c r="N279" s="3">
        <f t="shared" si="37"/>
        <v>29</v>
      </c>
      <c r="O279" s="3">
        <f t="shared" si="38"/>
        <v>4</v>
      </c>
    </row>
    <row r="280" spans="1:15" x14ac:dyDescent="0.2">
      <c r="A280" s="2">
        <v>44134</v>
      </c>
      <c r="B280" s="3">
        <v>17901</v>
      </c>
      <c r="C280" s="3">
        <v>17510</v>
      </c>
      <c r="D280" s="3">
        <v>18040</v>
      </c>
      <c r="E280" s="3">
        <v>17450</v>
      </c>
      <c r="F280" s="3">
        <v>25930</v>
      </c>
      <c r="G280" s="7">
        <f t="shared" si="44"/>
        <v>1</v>
      </c>
      <c r="H280" s="5">
        <f t="shared" si="39"/>
        <v>5.3917438921651222E-3</v>
      </c>
      <c r="I280" s="4">
        <f t="shared" si="40"/>
        <v>-2.4240735580941766E-2</v>
      </c>
      <c r="J280" s="4">
        <f t="shared" si="41"/>
        <v>8.3217753120665746E-4</v>
      </c>
      <c r="K280" s="4">
        <f t="shared" si="42"/>
        <v>-7.1123755334281651E-3</v>
      </c>
      <c r="L280" s="4">
        <f t="shared" si="43"/>
        <v>-0.16837716484926235</v>
      </c>
      <c r="M280" s="3">
        <f t="shared" si="36"/>
        <v>10</v>
      </c>
      <c r="N280" s="3">
        <f t="shared" si="37"/>
        <v>30</v>
      </c>
      <c r="O280" s="3">
        <f t="shared" si="38"/>
        <v>5</v>
      </c>
    </row>
    <row r="281" spans="1:15" x14ac:dyDescent="0.2">
      <c r="A281" s="2">
        <v>44137</v>
      </c>
      <c r="B281" s="3">
        <v>18339</v>
      </c>
      <c r="C281" s="3">
        <v>17890</v>
      </c>
      <c r="D281" s="3">
        <v>18415</v>
      </c>
      <c r="E281" s="3">
        <v>17750</v>
      </c>
      <c r="F281" s="3">
        <v>26870</v>
      </c>
      <c r="G281" s="7">
        <f t="shared" si="44"/>
        <v>1</v>
      </c>
      <c r="H281" s="5">
        <f t="shared" si="39"/>
        <v>2.4467906820847998E-2</v>
      </c>
      <c r="I281" s="4">
        <f t="shared" si="40"/>
        <v>2.1701884637350087E-2</v>
      </c>
      <c r="J281" s="4">
        <f t="shared" si="41"/>
        <v>2.0787139689578713E-2</v>
      </c>
      <c r="K281" s="4">
        <f t="shared" si="42"/>
        <v>1.7191977077363897E-2</v>
      </c>
      <c r="L281" s="4">
        <f t="shared" si="43"/>
        <v>3.6251446201311224E-2</v>
      </c>
      <c r="M281" s="3">
        <f t="shared" si="36"/>
        <v>11</v>
      </c>
      <c r="N281" s="3">
        <f t="shared" si="37"/>
        <v>2</v>
      </c>
      <c r="O281" s="3">
        <f t="shared" si="38"/>
        <v>1</v>
      </c>
    </row>
    <row r="282" spans="1:15" x14ac:dyDescent="0.2">
      <c r="A282" s="2">
        <v>44138</v>
      </c>
      <c r="B282" s="3">
        <v>18924</v>
      </c>
      <c r="C282" s="3">
        <v>18460</v>
      </c>
      <c r="D282" s="3">
        <v>19090</v>
      </c>
      <c r="E282" s="3">
        <v>18440</v>
      </c>
      <c r="F282" s="3">
        <v>25330</v>
      </c>
      <c r="G282" s="7">
        <f t="shared" si="44"/>
        <v>1</v>
      </c>
      <c r="H282" s="5">
        <f t="shared" si="39"/>
        <v>3.1899231146736463E-2</v>
      </c>
      <c r="I282" s="4">
        <f t="shared" si="40"/>
        <v>3.1861375069871439E-2</v>
      </c>
      <c r="J282" s="4">
        <f t="shared" si="41"/>
        <v>3.6654900896008688E-2</v>
      </c>
      <c r="K282" s="4">
        <f t="shared" si="42"/>
        <v>3.8873239436619716E-2</v>
      </c>
      <c r="L282" s="4">
        <f t="shared" si="43"/>
        <v>-5.7312988462969852E-2</v>
      </c>
      <c r="M282" s="3">
        <f t="shared" si="36"/>
        <v>11</v>
      </c>
      <c r="N282" s="3">
        <f t="shared" si="37"/>
        <v>3</v>
      </c>
      <c r="O282" s="3">
        <f t="shared" si="38"/>
        <v>2</v>
      </c>
    </row>
    <row r="283" spans="1:15" x14ac:dyDescent="0.2">
      <c r="A283" s="2">
        <v>44139</v>
      </c>
      <c r="B283" s="3">
        <v>19322</v>
      </c>
      <c r="C283" s="3">
        <v>18825</v>
      </c>
      <c r="D283" s="3">
        <v>19370</v>
      </c>
      <c r="E283" s="3">
        <v>18480</v>
      </c>
      <c r="F283" s="3">
        <v>37640</v>
      </c>
      <c r="G283" s="7">
        <f t="shared" si="44"/>
        <v>1</v>
      </c>
      <c r="H283" s="5">
        <f t="shared" si="39"/>
        <v>2.1031494398647221E-2</v>
      </c>
      <c r="I283" s="4">
        <f t="shared" si="40"/>
        <v>1.9772481040086675E-2</v>
      </c>
      <c r="J283" s="4">
        <f t="shared" si="41"/>
        <v>1.4667365112624411E-2</v>
      </c>
      <c r="K283" s="4">
        <f t="shared" si="42"/>
        <v>2.1691973969631237E-3</v>
      </c>
      <c r="L283" s="4">
        <f t="shared" si="43"/>
        <v>0.48598499802605605</v>
      </c>
      <c r="M283" s="3">
        <f t="shared" si="36"/>
        <v>11</v>
      </c>
      <c r="N283" s="3">
        <f t="shared" si="37"/>
        <v>4</v>
      </c>
      <c r="O283" s="3">
        <f t="shared" si="38"/>
        <v>3</v>
      </c>
    </row>
    <row r="284" spans="1:15" x14ac:dyDescent="0.2">
      <c r="A284" s="2">
        <v>44140</v>
      </c>
      <c r="B284" s="3">
        <v>19691</v>
      </c>
      <c r="C284" s="3">
        <v>19345</v>
      </c>
      <c r="D284" s="3">
        <v>19755</v>
      </c>
      <c r="E284" s="3">
        <v>19325</v>
      </c>
      <c r="F284" s="3">
        <v>28650</v>
      </c>
      <c r="G284" s="7">
        <f t="shared" si="44"/>
        <v>1</v>
      </c>
      <c r="H284" s="5">
        <f t="shared" si="39"/>
        <v>1.9097401925266537E-2</v>
      </c>
      <c r="I284" s="4">
        <f t="shared" si="40"/>
        <v>2.7622841965471448E-2</v>
      </c>
      <c r="J284" s="4">
        <f t="shared" si="41"/>
        <v>1.9876097057305111E-2</v>
      </c>
      <c r="K284" s="4">
        <f t="shared" si="42"/>
        <v>4.5725108225108224E-2</v>
      </c>
      <c r="L284" s="4">
        <f t="shared" si="43"/>
        <v>-0.23884165781083952</v>
      </c>
      <c r="M284" s="3">
        <f t="shared" si="36"/>
        <v>11</v>
      </c>
      <c r="N284" s="3">
        <f t="shared" si="37"/>
        <v>5</v>
      </c>
      <c r="O284" s="3">
        <f t="shared" si="38"/>
        <v>4</v>
      </c>
    </row>
    <row r="285" spans="1:15" x14ac:dyDescent="0.2">
      <c r="A285" s="2">
        <v>44141</v>
      </c>
      <c r="B285" s="3">
        <v>19653</v>
      </c>
      <c r="C285" s="3">
        <v>19550</v>
      </c>
      <c r="D285" s="3">
        <v>19790</v>
      </c>
      <c r="E285" s="3">
        <v>19440</v>
      </c>
      <c r="F285" s="3">
        <v>24620</v>
      </c>
      <c r="G285" s="7">
        <f t="shared" si="44"/>
        <v>0</v>
      </c>
      <c r="H285" s="5">
        <f t="shared" si="39"/>
        <v>-1.9298156518206288E-3</v>
      </c>
      <c r="I285" s="4">
        <f t="shared" si="40"/>
        <v>1.0597053502196949E-2</v>
      </c>
      <c r="J285" s="4">
        <f t="shared" si="41"/>
        <v>1.7717033662363959E-3</v>
      </c>
      <c r="K285" s="4">
        <f t="shared" si="42"/>
        <v>5.9508408796895215E-3</v>
      </c>
      <c r="L285" s="4">
        <f t="shared" si="43"/>
        <v>-0.1406631762652705</v>
      </c>
      <c r="M285" s="3">
        <f t="shared" si="36"/>
        <v>11</v>
      </c>
      <c r="N285" s="3">
        <f t="shared" si="37"/>
        <v>6</v>
      </c>
      <c r="O285" s="3">
        <f t="shared" si="38"/>
        <v>5</v>
      </c>
    </row>
    <row r="286" spans="1:15" x14ac:dyDescent="0.2">
      <c r="A286" s="2">
        <v>44144</v>
      </c>
      <c r="B286" s="3">
        <v>20712</v>
      </c>
      <c r="C286" s="3">
        <v>19965</v>
      </c>
      <c r="D286" s="3">
        <v>20935</v>
      </c>
      <c r="E286" s="3">
        <v>19900</v>
      </c>
      <c r="F286" s="3">
        <v>57780</v>
      </c>
      <c r="G286" s="7">
        <f t="shared" si="44"/>
        <v>1</v>
      </c>
      <c r="H286" s="5">
        <f t="shared" si="39"/>
        <v>5.3884903068233861E-2</v>
      </c>
      <c r="I286" s="4">
        <f t="shared" si="40"/>
        <v>2.1227621483375959E-2</v>
      </c>
      <c r="J286" s="4">
        <f t="shared" si="41"/>
        <v>5.7857503789792826E-2</v>
      </c>
      <c r="K286" s="4">
        <f t="shared" si="42"/>
        <v>2.3662551440329218E-2</v>
      </c>
      <c r="L286" s="4">
        <f t="shared" si="43"/>
        <v>1.346872461413485</v>
      </c>
      <c r="M286" s="3">
        <f t="shared" si="36"/>
        <v>11</v>
      </c>
      <c r="N286" s="3">
        <f t="shared" si="37"/>
        <v>9</v>
      </c>
      <c r="O286" s="3">
        <f t="shared" si="38"/>
        <v>1</v>
      </c>
    </row>
    <row r="287" spans="1:15" x14ac:dyDescent="0.2">
      <c r="A287" s="2">
        <v>44145</v>
      </c>
      <c r="B287" s="3">
        <v>20844</v>
      </c>
      <c r="C287" s="3">
        <v>20565</v>
      </c>
      <c r="D287" s="3">
        <v>20900</v>
      </c>
      <c r="E287" s="3">
        <v>20555</v>
      </c>
      <c r="F287" s="3">
        <v>32500</v>
      </c>
      <c r="G287" s="7">
        <f t="shared" si="44"/>
        <v>1</v>
      </c>
      <c r="H287" s="5">
        <f t="shared" si="39"/>
        <v>6.3731170336037077E-3</v>
      </c>
      <c r="I287" s="4">
        <f t="shared" si="40"/>
        <v>3.005259203606311E-2</v>
      </c>
      <c r="J287" s="4">
        <f t="shared" si="41"/>
        <v>-1.6718414139001673E-3</v>
      </c>
      <c r="K287" s="4">
        <f t="shared" si="42"/>
        <v>3.291457286432161E-2</v>
      </c>
      <c r="L287" s="4">
        <f t="shared" si="43"/>
        <v>-0.43752163378331604</v>
      </c>
      <c r="M287" s="3">
        <f t="shared" si="36"/>
        <v>11</v>
      </c>
      <c r="N287" s="3">
        <f t="shared" si="37"/>
        <v>10</v>
      </c>
      <c r="O287" s="3">
        <f t="shared" si="38"/>
        <v>2</v>
      </c>
    </row>
    <row r="288" spans="1:15" x14ac:dyDescent="0.2">
      <c r="A288" s="2">
        <v>44146</v>
      </c>
      <c r="B288" s="3">
        <v>20965</v>
      </c>
      <c r="C288" s="3">
        <v>20865</v>
      </c>
      <c r="D288" s="3">
        <v>21020</v>
      </c>
      <c r="E288" s="3">
        <v>20785</v>
      </c>
      <c r="F288" s="3">
        <v>20530</v>
      </c>
      <c r="G288" s="7">
        <f t="shared" si="44"/>
        <v>1</v>
      </c>
      <c r="H288" s="5">
        <f t="shared" si="39"/>
        <v>5.805027825753214E-3</v>
      </c>
      <c r="I288" s="4">
        <f t="shared" si="40"/>
        <v>1.4587892049598834E-2</v>
      </c>
      <c r="J288" s="4">
        <f t="shared" si="41"/>
        <v>5.7416267942583732E-3</v>
      </c>
      <c r="K288" s="4">
        <f t="shared" si="42"/>
        <v>1.1189491607881293E-2</v>
      </c>
      <c r="L288" s="4">
        <f t="shared" si="43"/>
        <v>-0.36830769230769228</v>
      </c>
      <c r="M288" s="3">
        <f t="shared" si="36"/>
        <v>11</v>
      </c>
      <c r="N288" s="3">
        <f t="shared" si="37"/>
        <v>11</v>
      </c>
      <c r="O288" s="3">
        <f t="shared" si="38"/>
        <v>3</v>
      </c>
    </row>
    <row r="289" spans="1:15" x14ac:dyDescent="0.2">
      <c r="A289" s="2">
        <v>44147</v>
      </c>
      <c r="B289" s="3">
        <v>20816</v>
      </c>
      <c r="C289" s="3">
        <v>20805</v>
      </c>
      <c r="D289" s="3">
        <v>20935</v>
      </c>
      <c r="E289" s="3">
        <v>20570</v>
      </c>
      <c r="F289" s="3">
        <v>18330</v>
      </c>
      <c r="G289" s="7">
        <f t="shared" si="44"/>
        <v>0</v>
      </c>
      <c r="H289" s="5">
        <f t="shared" si="39"/>
        <v>-7.1070832339613643E-3</v>
      </c>
      <c r="I289" s="4">
        <f t="shared" si="40"/>
        <v>-2.875629043853343E-3</v>
      </c>
      <c r="J289" s="4">
        <f t="shared" si="41"/>
        <v>-4.0437678401522362E-3</v>
      </c>
      <c r="K289" s="4">
        <f t="shared" si="42"/>
        <v>-1.0343998075535241E-2</v>
      </c>
      <c r="L289" s="4">
        <f t="shared" si="43"/>
        <v>-0.1071602532878714</v>
      </c>
      <c r="M289" s="3">
        <f t="shared" si="36"/>
        <v>11</v>
      </c>
      <c r="N289" s="3">
        <f t="shared" si="37"/>
        <v>12</v>
      </c>
      <c r="O289" s="3">
        <f t="shared" si="38"/>
        <v>4</v>
      </c>
    </row>
    <row r="290" spans="1:15" x14ac:dyDescent="0.2">
      <c r="A290" s="2">
        <v>44148</v>
      </c>
      <c r="B290" s="3">
        <v>20894</v>
      </c>
      <c r="C290" s="3">
        <v>20700</v>
      </c>
      <c r="D290" s="3">
        <v>21090</v>
      </c>
      <c r="E290" s="3">
        <v>20610</v>
      </c>
      <c r="F290" s="3">
        <v>17610</v>
      </c>
      <c r="G290" s="7">
        <f t="shared" si="44"/>
        <v>1</v>
      </c>
      <c r="H290" s="5">
        <f t="shared" si="39"/>
        <v>3.747117601844735E-3</v>
      </c>
      <c r="I290" s="4">
        <f t="shared" si="40"/>
        <v>-5.0468637346791634E-3</v>
      </c>
      <c r="J290" s="4">
        <f t="shared" si="41"/>
        <v>7.4038691187007406E-3</v>
      </c>
      <c r="K290" s="4">
        <f t="shared" si="42"/>
        <v>1.9445794846864365E-3</v>
      </c>
      <c r="L290" s="4">
        <f t="shared" si="43"/>
        <v>-3.927986906710311E-2</v>
      </c>
      <c r="M290" s="3">
        <f t="shared" si="36"/>
        <v>11</v>
      </c>
      <c r="N290" s="3">
        <f t="shared" si="37"/>
        <v>13</v>
      </c>
      <c r="O290" s="3">
        <f t="shared" si="38"/>
        <v>5</v>
      </c>
    </row>
    <row r="291" spans="1:15" x14ac:dyDescent="0.2">
      <c r="A291" s="2">
        <v>44151</v>
      </c>
      <c r="B291" s="3">
        <v>21301</v>
      </c>
      <c r="C291" s="3">
        <v>21160</v>
      </c>
      <c r="D291" s="3">
        <v>21420</v>
      </c>
      <c r="E291" s="3">
        <v>20980</v>
      </c>
      <c r="F291" s="3">
        <v>26170</v>
      </c>
      <c r="G291" s="7">
        <f t="shared" si="44"/>
        <v>1</v>
      </c>
      <c r="H291" s="5">
        <f t="shared" si="39"/>
        <v>1.9479276347276728E-2</v>
      </c>
      <c r="I291" s="4">
        <f t="shared" si="40"/>
        <v>2.2222222222222223E-2</v>
      </c>
      <c r="J291" s="4">
        <f t="shared" si="41"/>
        <v>1.5647226173541962E-2</v>
      </c>
      <c r="K291" s="4">
        <f t="shared" si="42"/>
        <v>1.7952450266860747E-2</v>
      </c>
      <c r="L291" s="4">
        <f t="shared" si="43"/>
        <v>0.48608745031232253</v>
      </c>
      <c r="M291" s="3">
        <f t="shared" si="36"/>
        <v>11</v>
      </c>
      <c r="N291" s="3">
        <f t="shared" si="37"/>
        <v>16</v>
      </c>
      <c r="O291" s="3">
        <f t="shared" si="38"/>
        <v>1</v>
      </c>
    </row>
    <row r="292" spans="1:15" x14ac:dyDescent="0.2">
      <c r="A292" s="2">
        <v>44152</v>
      </c>
      <c r="B292" s="3">
        <v>21430</v>
      </c>
      <c r="C292" s="3">
        <v>21240</v>
      </c>
      <c r="D292" s="3">
        <v>21525</v>
      </c>
      <c r="E292" s="3">
        <v>21220</v>
      </c>
      <c r="F292" s="3">
        <v>19030</v>
      </c>
      <c r="G292" s="7">
        <f t="shared" si="44"/>
        <v>1</v>
      </c>
      <c r="H292" s="5">
        <f t="shared" si="39"/>
        <v>6.0560537063987603E-3</v>
      </c>
      <c r="I292" s="4">
        <f t="shared" si="40"/>
        <v>3.780718336483932E-3</v>
      </c>
      <c r="J292" s="4">
        <f t="shared" si="41"/>
        <v>4.9019607843137254E-3</v>
      </c>
      <c r="K292" s="4">
        <f t="shared" si="42"/>
        <v>1.1439466158245948E-2</v>
      </c>
      <c r="L292" s="4">
        <f t="shared" si="43"/>
        <v>-0.27283148643484906</v>
      </c>
      <c r="M292" s="3">
        <f t="shared" si="36"/>
        <v>11</v>
      </c>
      <c r="N292" s="3">
        <f t="shared" si="37"/>
        <v>17</v>
      </c>
      <c r="O292" s="3">
        <f t="shared" si="38"/>
        <v>2</v>
      </c>
    </row>
    <row r="293" spans="1:15" x14ac:dyDescent="0.2">
      <c r="A293" s="2">
        <v>44153</v>
      </c>
      <c r="B293" s="3">
        <v>21590</v>
      </c>
      <c r="C293" s="3">
        <v>21390</v>
      </c>
      <c r="D293" s="3">
        <v>21640</v>
      </c>
      <c r="E293" s="3">
        <v>21345</v>
      </c>
      <c r="F293" s="3">
        <v>17560</v>
      </c>
      <c r="G293" s="7">
        <f t="shared" si="44"/>
        <v>1</v>
      </c>
      <c r="H293" s="5">
        <f t="shared" si="39"/>
        <v>7.466168922071862E-3</v>
      </c>
      <c r="I293" s="4">
        <f t="shared" si="40"/>
        <v>7.0621468926553672E-3</v>
      </c>
      <c r="J293" s="4">
        <f t="shared" si="41"/>
        <v>5.3426248548199768E-3</v>
      </c>
      <c r="K293" s="4">
        <f t="shared" si="42"/>
        <v>5.8906691800188499E-3</v>
      </c>
      <c r="L293" s="4">
        <f t="shared" si="43"/>
        <v>-7.7246452968996321E-2</v>
      </c>
      <c r="M293" s="3">
        <f t="shared" si="36"/>
        <v>11</v>
      </c>
      <c r="N293" s="3">
        <f t="shared" si="37"/>
        <v>18</v>
      </c>
      <c r="O293" s="3">
        <f t="shared" si="38"/>
        <v>3</v>
      </c>
    </row>
    <row r="294" spans="1:15" x14ac:dyDescent="0.2">
      <c r="A294" s="2">
        <v>44154</v>
      </c>
      <c r="B294" s="3">
        <v>21518</v>
      </c>
      <c r="C294" s="3">
        <v>21505</v>
      </c>
      <c r="D294" s="3">
        <v>21680</v>
      </c>
      <c r="E294" s="3">
        <v>21400</v>
      </c>
      <c r="F294" s="3">
        <v>14840</v>
      </c>
      <c r="G294" s="7">
        <f t="shared" si="44"/>
        <v>0</v>
      </c>
      <c r="H294" s="5">
        <f t="shared" si="39"/>
        <v>-3.3348772579898101E-3</v>
      </c>
      <c r="I294" s="4">
        <f t="shared" si="40"/>
        <v>5.3763440860215058E-3</v>
      </c>
      <c r="J294" s="4">
        <f t="shared" si="41"/>
        <v>1.8484288354898336E-3</v>
      </c>
      <c r="K294" s="4">
        <f t="shared" si="42"/>
        <v>2.5767158585148745E-3</v>
      </c>
      <c r="L294" s="4">
        <f t="shared" si="43"/>
        <v>-0.15489749430523919</v>
      </c>
      <c r="M294" s="3">
        <f t="shared" si="36"/>
        <v>11</v>
      </c>
      <c r="N294" s="3">
        <f t="shared" si="37"/>
        <v>19</v>
      </c>
      <c r="O294" s="3">
        <f t="shared" si="38"/>
        <v>4</v>
      </c>
    </row>
    <row r="295" spans="1:15" x14ac:dyDescent="0.2">
      <c r="A295" s="2">
        <v>44155</v>
      </c>
      <c r="B295" s="3">
        <v>21681</v>
      </c>
      <c r="C295" s="3">
        <v>21560</v>
      </c>
      <c r="D295" s="3">
        <v>21745</v>
      </c>
      <c r="E295" s="3">
        <v>21475</v>
      </c>
      <c r="F295" s="3">
        <v>13510</v>
      </c>
      <c r="G295" s="7">
        <f t="shared" si="44"/>
        <v>1</v>
      </c>
      <c r="H295" s="5">
        <f t="shared" si="39"/>
        <v>7.5750534436285896E-3</v>
      </c>
      <c r="I295" s="4">
        <f t="shared" si="40"/>
        <v>2.5575447570332483E-3</v>
      </c>
      <c r="J295" s="4">
        <f t="shared" si="41"/>
        <v>2.9981549815498157E-3</v>
      </c>
      <c r="K295" s="4">
        <f t="shared" si="42"/>
        <v>3.5046728971962616E-3</v>
      </c>
      <c r="L295" s="4">
        <f t="shared" si="43"/>
        <v>-8.9622641509433956E-2</v>
      </c>
      <c r="M295" s="3">
        <f t="shared" si="36"/>
        <v>11</v>
      </c>
      <c r="N295" s="3">
        <f t="shared" si="37"/>
        <v>20</v>
      </c>
      <c r="O295" s="3">
        <f t="shared" si="38"/>
        <v>5</v>
      </c>
    </row>
    <row r="296" spans="1:15" x14ac:dyDescent="0.2">
      <c r="A296" s="2">
        <v>44158</v>
      </c>
      <c r="B296" s="3">
        <v>21718</v>
      </c>
      <c r="C296" s="3">
        <v>21775</v>
      </c>
      <c r="D296" s="3">
        <v>21995</v>
      </c>
      <c r="E296" s="3">
        <v>21690</v>
      </c>
      <c r="F296" s="3">
        <v>16210</v>
      </c>
      <c r="G296" s="7">
        <f t="shared" si="44"/>
        <v>1</v>
      </c>
      <c r="H296" s="5">
        <f t="shared" si="39"/>
        <v>1.7065633503989669E-3</v>
      </c>
      <c r="I296" s="4">
        <f t="shared" si="40"/>
        <v>9.9721706864564011E-3</v>
      </c>
      <c r="J296" s="4">
        <f t="shared" si="41"/>
        <v>1.1496895838123706E-2</v>
      </c>
      <c r="K296" s="4">
        <f t="shared" si="42"/>
        <v>1.0011641443538999E-2</v>
      </c>
      <c r="L296" s="4">
        <f t="shared" si="43"/>
        <v>0.1998519615099926</v>
      </c>
      <c r="M296" s="3">
        <f t="shared" si="36"/>
        <v>11</v>
      </c>
      <c r="N296" s="3">
        <f t="shared" si="37"/>
        <v>23</v>
      </c>
      <c r="O296" s="3">
        <f t="shared" si="38"/>
        <v>1</v>
      </c>
    </row>
    <row r="297" spans="1:15" x14ac:dyDescent="0.2">
      <c r="A297" s="2">
        <v>44159</v>
      </c>
      <c r="B297" s="3">
        <v>22131</v>
      </c>
      <c r="C297" s="3">
        <v>21880</v>
      </c>
      <c r="D297" s="3">
        <v>22230</v>
      </c>
      <c r="E297" s="3">
        <v>21845</v>
      </c>
      <c r="F297" s="3">
        <v>20490</v>
      </c>
      <c r="G297" s="7">
        <f t="shared" si="44"/>
        <v>1</v>
      </c>
      <c r="H297" s="5">
        <f t="shared" si="39"/>
        <v>1.9016484022469842E-2</v>
      </c>
      <c r="I297" s="4">
        <f t="shared" si="40"/>
        <v>4.8220436280137771E-3</v>
      </c>
      <c r="J297" s="4">
        <f t="shared" si="41"/>
        <v>1.0684246419640827E-2</v>
      </c>
      <c r="K297" s="4">
        <f t="shared" si="42"/>
        <v>7.1461502996772704E-3</v>
      </c>
      <c r="L297" s="4">
        <f t="shared" si="43"/>
        <v>0.26403454657618752</v>
      </c>
      <c r="M297" s="3">
        <f t="shared" si="36"/>
        <v>11</v>
      </c>
      <c r="N297" s="3">
        <f t="shared" si="37"/>
        <v>24</v>
      </c>
      <c r="O297" s="3">
        <f t="shared" si="38"/>
        <v>2</v>
      </c>
    </row>
    <row r="298" spans="1:15" x14ac:dyDescent="0.2">
      <c r="A298" s="2">
        <v>44160</v>
      </c>
      <c r="B298" s="3">
        <v>22306</v>
      </c>
      <c r="C298" s="3">
        <v>22165</v>
      </c>
      <c r="D298" s="3">
        <v>22370</v>
      </c>
      <c r="E298" s="3">
        <v>22050</v>
      </c>
      <c r="F298" s="3">
        <v>26920</v>
      </c>
      <c r="G298" s="7">
        <f t="shared" si="44"/>
        <v>1</v>
      </c>
      <c r="H298" s="5">
        <f t="shared" si="39"/>
        <v>7.9074601238082326E-3</v>
      </c>
      <c r="I298" s="4">
        <f t="shared" si="40"/>
        <v>1.3025594149908592E-2</v>
      </c>
      <c r="J298" s="4">
        <f t="shared" si="41"/>
        <v>6.2977957714799816E-3</v>
      </c>
      <c r="K298" s="4">
        <f t="shared" si="42"/>
        <v>9.384298466468299E-3</v>
      </c>
      <c r="L298" s="4">
        <f t="shared" si="43"/>
        <v>0.31381161542215713</v>
      </c>
      <c r="M298" s="3">
        <f t="shared" si="36"/>
        <v>11</v>
      </c>
      <c r="N298" s="3">
        <f t="shared" si="37"/>
        <v>25</v>
      </c>
      <c r="O298" s="3">
        <f t="shared" si="38"/>
        <v>3</v>
      </c>
    </row>
    <row r="299" spans="1:15" x14ac:dyDescent="0.2">
      <c r="A299" s="2">
        <v>44161</v>
      </c>
      <c r="B299" s="3">
        <v>22211</v>
      </c>
      <c r="C299" s="3">
        <v>22355</v>
      </c>
      <c r="D299" s="3">
        <v>22380</v>
      </c>
      <c r="E299" s="3">
        <v>22135</v>
      </c>
      <c r="F299" s="3">
        <v>10330</v>
      </c>
      <c r="G299" s="7">
        <f t="shared" si="44"/>
        <v>0</v>
      </c>
      <c r="H299" s="5">
        <f t="shared" si="39"/>
        <v>-4.2589437819420782E-3</v>
      </c>
      <c r="I299" s="4">
        <f t="shared" si="40"/>
        <v>8.5720730882021205E-3</v>
      </c>
      <c r="J299" s="4">
        <f t="shared" si="41"/>
        <v>4.4702726866338848E-4</v>
      </c>
      <c r="K299" s="4">
        <f t="shared" si="42"/>
        <v>3.8548752834467121E-3</v>
      </c>
      <c r="L299" s="4">
        <f t="shared" si="43"/>
        <v>-0.61627043090638933</v>
      </c>
      <c r="M299" s="3">
        <f t="shared" si="36"/>
        <v>11</v>
      </c>
      <c r="N299" s="3">
        <f t="shared" si="37"/>
        <v>26</v>
      </c>
      <c r="O299" s="3">
        <f t="shared" si="38"/>
        <v>4</v>
      </c>
    </row>
    <row r="300" spans="1:15" x14ac:dyDescent="0.2">
      <c r="A300" s="2">
        <v>44162</v>
      </c>
      <c r="B300" s="3">
        <v>22343</v>
      </c>
      <c r="C300" s="3">
        <v>22220</v>
      </c>
      <c r="D300" s="3">
        <v>22400</v>
      </c>
      <c r="E300" s="3">
        <v>22165</v>
      </c>
      <c r="F300" s="3">
        <v>12400</v>
      </c>
      <c r="G300" s="7">
        <f t="shared" si="44"/>
        <v>1</v>
      </c>
      <c r="H300" s="5">
        <f t="shared" si="39"/>
        <v>5.9430012156138851E-3</v>
      </c>
      <c r="I300" s="4">
        <f t="shared" si="40"/>
        <v>-6.0389174681279353E-3</v>
      </c>
      <c r="J300" s="4">
        <f t="shared" si="41"/>
        <v>8.9365504915102768E-4</v>
      </c>
      <c r="K300" s="4">
        <f t="shared" si="42"/>
        <v>1.3553196295459679E-3</v>
      </c>
      <c r="L300" s="4">
        <f t="shared" si="43"/>
        <v>0.20038722168441434</v>
      </c>
      <c r="M300" s="3">
        <f t="shared" si="36"/>
        <v>11</v>
      </c>
      <c r="N300" s="3">
        <f t="shared" si="37"/>
        <v>27</v>
      </c>
      <c r="O300" s="3">
        <f t="shared" si="38"/>
        <v>5</v>
      </c>
    </row>
    <row r="301" spans="1:15" x14ac:dyDescent="0.2">
      <c r="A301" s="2">
        <v>44165</v>
      </c>
      <c r="B301" s="3">
        <v>22055</v>
      </c>
      <c r="C301" s="3">
        <v>22190</v>
      </c>
      <c r="D301" s="3">
        <v>22350</v>
      </c>
      <c r="E301" s="3">
        <v>21930</v>
      </c>
      <c r="F301" s="3">
        <v>18520</v>
      </c>
      <c r="G301" s="7">
        <f t="shared" si="44"/>
        <v>0</v>
      </c>
      <c r="H301" s="5">
        <f t="shared" si="39"/>
        <v>-1.2889943158931209E-2</v>
      </c>
      <c r="I301" s="4">
        <f t="shared" si="40"/>
        <v>-1.3501350135013501E-3</v>
      </c>
      <c r="J301" s="4">
        <f t="shared" si="41"/>
        <v>-2.232142857142857E-3</v>
      </c>
      <c r="K301" s="4">
        <f t="shared" si="42"/>
        <v>-1.0602300924881571E-2</v>
      </c>
      <c r="L301" s="4">
        <f t="shared" si="43"/>
        <v>0.49354838709677418</v>
      </c>
      <c r="M301" s="3">
        <f t="shared" si="36"/>
        <v>11</v>
      </c>
      <c r="N301" s="3">
        <f t="shared" si="37"/>
        <v>30</v>
      </c>
      <c r="O301" s="3">
        <f t="shared" si="38"/>
        <v>1</v>
      </c>
    </row>
    <row r="302" spans="1:15" x14ac:dyDescent="0.2">
      <c r="A302" s="2">
        <v>44166</v>
      </c>
      <c r="B302" s="3">
        <v>22117</v>
      </c>
      <c r="C302" s="3">
        <v>22190</v>
      </c>
      <c r="D302" s="3">
        <v>22250</v>
      </c>
      <c r="E302" s="3">
        <v>22010</v>
      </c>
      <c r="F302" s="3">
        <v>14670</v>
      </c>
      <c r="G302" s="7">
        <f t="shared" si="44"/>
        <v>1</v>
      </c>
      <c r="H302" s="5">
        <f t="shared" si="39"/>
        <v>2.811153933348447E-3</v>
      </c>
      <c r="I302" s="4">
        <f t="shared" si="40"/>
        <v>0</v>
      </c>
      <c r="J302" s="4">
        <f t="shared" si="41"/>
        <v>-4.4742729306487695E-3</v>
      </c>
      <c r="K302" s="4">
        <f t="shared" si="42"/>
        <v>3.6479708162334701E-3</v>
      </c>
      <c r="L302" s="4">
        <f t="shared" si="43"/>
        <v>-0.20788336933045357</v>
      </c>
      <c r="M302" s="3">
        <f t="shared" si="36"/>
        <v>12</v>
      </c>
      <c r="N302" s="3">
        <f t="shared" si="37"/>
        <v>1</v>
      </c>
      <c r="O302" s="3">
        <f t="shared" si="38"/>
        <v>2</v>
      </c>
    </row>
    <row r="303" spans="1:15" x14ac:dyDescent="0.2">
      <c r="A303" s="2">
        <v>44167</v>
      </c>
      <c r="B303" s="3">
        <v>21952</v>
      </c>
      <c r="C303" s="3">
        <v>22070</v>
      </c>
      <c r="D303" s="3">
        <v>22095</v>
      </c>
      <c r="E303" s="3">
        <v>21775</v>
      </c>
      <c r="F303" s="3">
        <v>15490</v>
      </c>
      <c r="G303" s="7">
        <f t="shared" si="44"/>
        <v>0</v>
      </c>
      <c r="H303" s="5">
        <f t="shared" si="39"/>
        <v>-7.4603246371569383E-3</v>
      </c>
      <c r="I303" s="4">
        <f t="shared" si="40"/>
        <v>-5.4078413699864807E-3</v>
      </c>
      <c r="J303" s="4">
        <f t="shared" si="41"/>
        <v>-6.9662921348314609E-3</v>
      </c>
      <c r="K303" s="4">
        <f t="shared" si="42"/>
        <v>-1.0676965015901863E-2</v>
      </c>
      <c r="L303" s="4">
        <f t="shared" si="43"/>
        <v>5.5896387184730743E-2</v>
      </c>
      <c r="M303" s="3">
        <f t="shared" si="36"/>
        <v>12</v>
      </c>
      <c r="N303" s="3">
        <f t="shared" si="37"/>
        <v>2</v>
      </c>
      <c r="O303" s="3">
        <f t="shared" si="38"/>
        <v>3</v>
      </c>
    </row>
    <row r="304" spans="1:15" x14ac:dyDescent="0.2">
      <c r="A304" s="2">
        <v>44168</v>
      </c>
      <c r="B304" s="3">
        <v>22019</v>
      </c>
      <c r="C304" s="3">
        <v>21970</v>
      </c>
      <c r="D304" s="3">
        <v>22045</v>
      </c>
      <c r="E304" s="3">
        <v>21895</v>
      </c>
      <c r="F304" s="3">
        <v>13170</v>
      </c>
      <c r="G304" s="7">
        <f t="shared" si="44"/>
        <v>1</v>
      </c>
      <c r="H304" s="5">
        <f t="shared" si="39"/>
        <v>3.0521137026239065E-3</v>
      </c>
      <c r="I304" s="4">
        <f t="shared" si="40"/>
        <v>-4.5310376076121428E-3</v>
      </c>
      <c r="J304" s="4">
        <f t="shared" si="41"/>
        <v>-2.2629554197782305E-3</v>
      </c>
      <c r="K304" s="4">
        <f t="shared" si="42"/>
        <v>5.5109070034443167E-3</v>
      </c>
      <c r="L304" s="4">
        <f t="shared" si="43"/>
        <v>-0.14977404777275663</v>
      </c>
      <c r="M304" s="3">
        <f t="shared" si="36"/>
        <v>12</v>
      </c>
      <c r="N304" s="3">
        <f t="shared" si="37"/>
        <v>3</v>
      </c>
      <c r="O304" s="3">
        <f t="shared" si="38"/>
        <v>4</v>
      </c>
    </row>
    <row r="305" spans="1:15" x14ac:dyDescent="0.2">
      <c r="A305" s="2">
        <v>44169</v>
      </c>
      <c r="B305" s="3">
        <v>22170</v>
      </c>
      <c r="C305" s="3">
        <v>21970</v>
      </c>
      <c r="D305" s="3">
        <v>22205</v>
      </c>
      <c r="E305" s="3">
        <v>21955</v>
      </c>
      <c r="F305" s="3">
        <v>15900</v>
      </c>
      <c r="G305" s="7">
        <f t="shared" si="44"/>
        <v>1</v>
      </c>
      <c r="H305" s="5">
        <f t="shared" si="39"/>
        <v>6.8577137926336346E-3</v>
      </c>
      <c r="I305" s="4">
        <f t="shared" si="40"/>
        <v>0</v>
      </c>
      <c r="J305" s="4">
        <f t="shared" si="41"/>
        <v>7.2578816058063052E-3</v>
      </c>
      <c r="K305" s="4">
        <f t="shared" si="42"/>
        <v>2.740351678465403E-3</v>
      </c>
      <c r="L305" s="4">
        <f t="shared" si="43"/>
        <v>0.2072892938496583</v>
      </c>
      <c r="M305" s="3">
        <f t="shared" si="36"/>
        <v>12</v>
      </c>
      <c r="N305" s="3">
        <f t="shared" si="37"/>
        <v>4</v>
      </c>
      <c r="O305" s="3">
        <f t="shared" si="38"/>
        <v>5</v>
      </c>
    </row>
    <row r="306" spans="1:15" x14ac:dyDescent="0.2">
      <c r="A306" s="2">
        <v>44172</v>
      </c>
      <c r="B306" s="3">
        <v>22105</v>
      </c>
      <c r="C306" s="3">
        <v>22085</v>
      </c>
      <c r="D306" s="3">
        <v>22150</v>
      </c>
      <c r="E306" s="3">
        <v>21960</v>
      </c>
      <c r="F306" s="3">
        <v>11910</v>
      </c>
      <c r="G306" s="7">
        <f t="shared" si="44"/>
        <v>0</v>
      </c>
      <c r="H306" s="5">
        <f t="shared" si="39"/>
        <v>-2.9318899413622013E-3</v>
      </c>
      <c r="I306" s="4">
        <f t="shared" si="40"/>
        <v>5.234410559854347E-3</v>
      </c>
      <c r="J306" s="4">
        <f t="shared" si="41"/>
        <v>-2.4769196126998424E-3</v>
      </c>
      <c r="K306" s="4">
        <f t="shared" si="42"/>
        <v>2.2773855613755409E-4</v>
      </c>
      <c r="L306" s="4">
        <f t="shared" si="43"/>
        <v>-0.25094339622641509</v>
      </c>
      <c r="M306" s="3">
        <f t="shared" si="36"/>
        <v>12</v>
      </c>
      <c r="N306" s="3">
        <f t="shared" si="37"/>
        <v>7</v>
      </c>
      <c r="O306" s="3">
        <f t="shared" si="38"/>
        <v>1</v>
      </c>
    </row>
    <row r="307" spans="1:15" x14ac:dyDescent="0.2">
      <c r="A307" s="2">
        <v>44173</v>
      </c>
      <c r="B307" s="3">
        <v>22061</v>
      </c>
      <c r="C307" s="3">
        <v>22090</v>
      </c>
      <c r="D307" s="3">
        <v>22135</v>
      </c>
      <c r="E307" s="3">
        <v>21890</v>
      </c>
      <c r="F307" s="3">
        <v>12720</v>
      </c>
      <c r="G307" s="7">
        <f t="shared" si="44"/>
        <v>0</v>
      </c>
      <c r="H307" s="5">
        <f t="shared" si="39"/>
        <v>-1.9904998869034155E-3</v>
      </c>
      <c r="I307" s="4">
        <f t="shared" si="40"/>
        <v>2.2639800769753225E-4</v>
      </c>
      <c r="J307" s="4">
        <f t="shared" si="41"/>
        <v>-6.7720090293453723E-4</v>
      </c>
      <c r="K307" s="4">
        <f t="shared" si="42"/>
        <v>-3.1876138433515485E-3</v>
      </c>
      <c r="L307" s="4">
        <f t="shared" si="43"/>
        <v>6.8010075566750636E-2</v>
      </c>
      <c r="M307" s="3">
        <f t="shared" si="36"/>
        <v>12</v>
      </c>
      <c r="N307" s="3">
        <f t="shared" si="37"/>
        <v>8</v>
      </c>
      <c r="O307" s="3">
        <f t="shared" si="38"/>
        <v>2</v>
      </c>
    </row>
    <row r="308" spans="1:15" x14ac:dyDescent="0.2">
      <c r="A308" s="2">
        <v>44174</v>
      </c>
      <c r="B308" s="3">
        <v>21969</v>
      </c>
      <c r="C308" s="3">
        <v>22190</v>
      </c>
      <c r="D308" s="3">
        <v>22250</v>
      </c>
      <c r="E308" s="3">
        <v>21880</v>
      </c>
      <c r="F308" s="3">
        <v>15070</v>
      </c>
      <c r="G308" s="7">
        <f t="shared" si="44"/>
        <v>0</v>
      </c>
      <c r="H308" s="5">
        <f t="shared" si="39"/>
        <v>-4.1702552014867868E-3</v>
      </c>
      <c r="I308" s="4">
        <f t="shared" si="40"/>
        <v>4.5269352648257127E-3</v>
      </c>
      <c r="J308" s="4">
        <f t="shared" si="41"/>
        <v>5.1953919132595441E-3</v>
      </c>
      <c r="K308" s="4">
        <f t="shared" si="42"/>
        <v>-4.5682960255824577E-4</v>
      </c>
      <c r="L308" s="4">
        <f t="shared" si="43"/>
        <v>0.18474842767295596</v>
      </c>
      <c r="M308" s="3">
        <f t="shared" si="36"/>
        <v>12</v>
      </c>
      <c r="N308" s="3">
        <f t="shared" si="37"/>
        <v>9</v>
      </c>
      <c r="O308" s="3">
        <f t="shared" si="38"/>
        <v>3</v>
      </c>
    </row>
    <row r="309" spans="1:15" x14ac:dyDescent="0.2">
      <c r="A309" s="2">
        <v>44175</v>
      </c>
      <c r="B309" s="3">
        <v>21921</v>
      </c>
      <c r="C309" s="3">
        <v>21880</v>
      </c>
      <c r="D309" s="3">
        <v>22090</v>
      </c>
      <c r="E309" s="3">
        <v>21735</v>
      </c>
      <c r="F309" s="3">
        <v>16850</v>
      </c>
      <c r="G309" s="7">
        <f t="shared" si="44"/>
        <v>0</v>
      </c>
      <c r="H309" s="5">
        <f t="shared" si="39"/>
        <v>-2.1848969001775228E-3</v>
      </c>
      <c r="I309" s="4">
        <f t="shared" si="40"/>
        <v>-1.3970256872465074E-2</v>
      </c>
      <c r="J309" s="4">
        <f t="shared" si="41"/>
        <v>-7.1910112359550565E-3</v>
      </c>
      <c r="K309" s="4">
        <f t="shared" si="42"/>
        <v>-6.6270566727605115E-3</v>
      </c>
      <c r="L309" s="4">
        <f t="shared" si="43"/>
        <v>0.11811546118115461</v>
      </c>
      <c r="M309" s="3">
        <f t="shared" si="36"/>
        <v>12</v>
      </c>
      <c r="N309" s="3">
        <f t="shared" si="37"/>
        <v>10</v>
      </c>
      <c r="O309" s="3">
        <f t="shared" si="38"/>
        <v>4</v>
      </c>
    </row>
    <row r="310" spans="1:15" x14ac:dyDescent="0.2">
      <c r="A310" s="2">
        <v>44176</v>
      </c>
      <c r="B310" s="3">
        <v>21695</v>
      </c>
      <c r="C310" s="3">
        <v>21875</v>
      </c>
      <c r="D310" s="3">
        <v>21900</v>
      </c>
      <c r="E310" s="3">
        <v>21565</v>
      </c>
      <c r="F310" s="3">
        <v>16850</v>
      </c>
      <c r="G310" s="7">
        <f t="shared" si="44"/>
        <v>0</v>
      </c>
      <c r="H310" s="5">
        <f t="shared" si="39"/>
        <v>-1.0309748642853885E-2</v>
      </c>
      <c r="I310" s="4">
        <f t="shared" si="40"/>
        <v>-2.2851919561243144E-4</v>
      </c>
      <c r="J310" s="4">
        <f t="shared" si="41"/>
        <v>-8.6011770031688538E-3</v>
      </c>
      <c r="K310" s="4">
        <f t="shared" si="42"/>
        <v>-7.8214860823556474E-3</v>
      </c>
      <c r="L310" s="4">
        <f t="shared" si="43"/>
        <v>0</v>
      </c>
      <c r="M310" s="3">
        <f t="shared" si="36"/>
        <v>12</v>
      </c>
      <c r="N310" s="3">
        <f t="shared" si="37"/>
        <v>11</v>
      </c>
      <c r="O310" s="3">
        <f t="shared" si="38"/>
        <v>5</v>
      </c>
    </row>
    <row r="311" spans="1:15" x14ac:dyDescent="0.2">
      <c r="A311" s="2">
        <v>44179</v>
      </c>
      <c r="B311" s="3">
        <v>21789</v>
      </c>
      <c r="C311" s="3">
        <v>21825</v>
      </c>
      <c r="D311" s="3">
        <v>22005</v>
      </c>
      <c r="E311" s="3">
        <v>21675</v>
      </c>
      <c r="F311" s="3">
        <v>40180</v>
      </c>
      <c r="G311" s="7">
        <f t="shared" si="44"/>
        <v>1</v>
      </c>
      <c r="H311" s="5">
        <f t="shared" si="39"/>
        <v>4.3327955750172851E-3</v>
      </c>
      <c r="I311" s="4">
        <f t="shared" si="40"/>
        <v>-2.2857142857142859E-3</v>
      </c>
      <c r="J311" s="4">
        <f t="shared" si="41"/>
        <v>4.7945205479452057E-3</v>
      </c>
      <c r="K311" s="4">
        <f t="shared" si="42"/>
        <v>5.1008578715511241E-3</v>
      </c>
      <c r="L311" s="4">
        <f t="shared" si="43"/>
        <v>1.3845697329376854</v>
      </c>
      <c r="M311" s="3">
        <f t="shared" si="36"/>
        <v>12</v>
      </c>
      <c r="N311" s="3">
        <f t="shared" si="37"/>
        <v>14</v>
      </c>
      <c r="O311" s="3">
        <f t="shared" si="38"/>
        <v>1</v>
      </c>
    </row>
    <row r="312" spans="1:15" x14ac:dyDescent="0.2">
      <c r="A312" s="2">
        <v>44180</v>
      </c>
      <c r="B312" s="3">
        <v>21941</v>
      </c>
      <c r="C312" s="3">
        <v>21705</v>
      </c>
      <c r="D312" s="3">
        <v>22090</v>
      </c>
      <c r="E312" s="3">
        <v>21680</v>
      </c>
      <c r="F312" s="3">
        <v>34720</v>
      </c>
      <c r="G312" s="7">
        <f t="shared" si="44"/>
        <v>1</v>
      </c>
      <c r="H312" s="5">
        <f t="shared" si="39"/>
        <v>6.9759970627380789E-3</v>
      </c>
      <c r="I312" s="4">
        <f t="shared" si="40"/>
        <v>-5.4982817869415812E-3</v>
      </c>
      <c r="J312" s="4">
        <f t="shared" si="41"/>
        <v>3.8627584639854577E-3</v>
      </c>
      <c r="K312" s="4">
        <f t="shared" si="42"/>
        <v>2.306805074971165E-4</v>
      </c>
      <c r="L312" s="4">
        <f t="shared" si="43"/>
        <v>-0.13588850174216027</v>
      </c>
      <c r="M312" s="3">
        <f t="shared" si="36"/>
        <v>12</v>
      </c>
      <c r="N312" s="3">
        <f t="shared" si="37"/>
        <v>15</v>
      </c>
      <c r="O312" s="3">
        <f t="shared" si="38"/>
        <v>2</v>
      </c>
    </row>
    <row r="313" spans="1:15" x14ac:dyDescent="0.2">
      <c r="A313" s="2">
        <v>44181</v>
      </c>
      <c r="B313" s="3">
        <v>21961</v>
      </c>
      <c r="C313" s="3">
        <v>22035</v>
      </c>
      <c r="D313" s="3">
        <v>22185</v>
      </c>
      <c r="E313" s="3">
        <v>21880</v>
      </c>
      <c r="F313" s="3">
        <v>30910</v>
      </c>
      <c r="G313" s="7">
        <f t="shared" si="44"/>
        <v>1</v>
      </c>
      <c r="H313" s="5">
        <f t="shared" si="39"/>
        <v>9.1153548151861816E-4</v>
      </c>
      <c r="I313" s="4">
        <f t="shared" si="40"/>
        <v>1.520387007601935E-2</v>
      </c>
      <c r="J313" s="4">
        <f t="shared" si="41"/>
        <v>4.3005885015844269E-3</v>
      </c>
      <c r="K313" s="4">
        <f t="shared" si="42"/>
        <v>9.2250922509225092E-3</v>
      </c>
      <c r="L313" s="4">
        <f t="shared" si="43"/>
        <v>-0.10973502304147466</v>
      </c>
      <c r="M313" s="3">
        <f t="shared" si="36"/>
        <v>12</v>
      </c>
      <c r="N313" s="3">
        <f t="shared" si="37"/>
        <v>16</v>
      </c>
      <c r="O313" s="3">
        <f t="shared" si="38"/>
        <v>3</v>
      </c>
    </row>
    <row r="314" spans="1:15" x14ac:dyDescent="0.2">
      <c r="A314" s="2">
        <v>44182</v>
      </c>
      <c r="B314" s="3">
        <v>22032</v>
      </c>
      <c r="C314" s="3">
        <v>22005</v>
      </c>
      <c r="D314" s="3">
        <v>22145</v>
      </c>
      <c r="E314" s="3">
        <v>22005</v>
      </c>
      <c r="F314" s="3">
        <v>21310</v>
      </c>
      <c r="G314" s="7">
        <f t="shared" si="44"/>
        <v>1</v>
      </c>
      <c r="H314" s="5">
        <f t="shared" si="39"/>
        <v>3.2330039615682347E-3</v>
      </c>
      <c r="I314" s="4">
        <f t="shared" si="40"/>
        <v>-1.3614703880190605E-3</v>
      </c>
      <c r="J314" s="4">
        <f t="shared" si="41"/>
        <v>-1.803020058598152E-3</v>
      </c>
      <c r="K314" s="4">
        <f t="shared" si="42"/>
        <v>5.712979890310786E-3</v>
      </c>
      <c r="L314" s="4">
        <f t="shared" si="43"/>
        <v>-0.3105791006146878</v>
      </c>
      <c r="M314" s="3">
        <f t="shared" si="36"/>
        <v>12</v>
      </c>
      <c r="N314" s="3">
        <f t="shared" si="37"/>
        <v>17</v>
      </c>
      <c r="O314" s="3">
        <f t="shared" si="38"/>
        <v>4</v>
      </c>
    </row>
    <row r="315" spans="1:15" x14ac:dyDescent="0.2">
      <c r="A315" s="2">
        <v>44183</v>
      </c>
      <c r="B315" s="3">
        <v>21926</v>
      </c>
      <c r="C315" s="3">
        <v>22000</v>
      </c>
      <c r="D315" s="3">
        <v>22010</v>
      </c>
      <c r="E315" s="3">
        <v>21925</v>
      </c>
      <c r="F315" s="3">
        <v>50</v>
      </c>
      <c r="G315" s="7">
        <f t="shared" si="44"/>
        <v>0</v>
      </c>
      <c r="H315" s="5">
        <f t="shared" si="39"/>
        <v>-4.8111837327523598E-3</v>
      </c>
      <c r="I315" s="4">
        <f t="shared" si="40"/>
        <v>-2.2722108611679165E-4</v>
      </c>
      <c r="J315" s="4">
        <f t="shared" si="41"/>
        <v>-6.0961842402348157E-3</v>
      </c>
      <c r="K315" s="4">
        <f t="shared" si="42"/>
        <v>-3.6355373778686664E-3</v>
      </c>
      <c r="L315" s="4">
        <f t="shared" si="43"/>
        <v>-0.99765368371656504</v>
      </c>
      <c r="M315" s="3">
        <f t="shared" si="36"/>
        <v>12</v>
      </c>
      <c r="N315" s="3">
        <f t="shared" si="37"/>
        <v>18</v>
      </c>
      <c r="O315" s="3">
        <f t="shared" si="38"/>
        <v>5</v>
      </c>
    </row>
    <row r="316" spans="1:15" x14ac:dyDescent="0.2">
      <c r="A316" s="2">
        <v>44186</v>
      </c>
      <c r="B316" s="3">
        <v>21299</v>
      </c>
      <c r="C316" s="3">
        <v>21585</v>
      </c>
      <c r="D316" s="3">
        <v>21585</v>
      </c>
      <c r="E316" s="3">
        <v>20950</v>
      </c>
      <c r="F316" s="3">
        <v>31810</v>
      </c>
      <c r="G316" s="7">
        <f t="shared" si="44"/>
        <v>0</v>
      </c>
      <c r="H316" s="5">
        <f t="shared" si="39"/>
        <v>-2.8596187175043329E-2</v>
      </c>
      <c r="I316" s="4">
        <f t="shared" si="40"/>
        <v>-1.8863636363636364E-2</v>
      </c>
      <c r="J316" s="4">
        <f t="shared" si="41"/>
        <v>-1.930940481599273E-2</v>
      </c>
      <c r="K316" s="4">
        <f t="shared" si="42"/>
        <v>-4.4469783352337512E-2</v>
      </c>
      <c r="L316" s="4">
        <f t="shared" si="43"/>
        <v>635.20000000000005</v>
      </c>
      <c r="M316" s="3">
        <f t="shared" si="36"/>
        <v>12</v>
      </c>
      <c r="N316" s="3">
        <f t="shared" si="37"/>
        <v>21</v>
      </c>
      <c r="O316" s="3">
        <f t="shared" si="38"/>
        <v>1</v>
      </c>
    </row>
    <row r="317" spans="1:15" x14ac:dyDescent="0.2">
      <c r="A317" s="2">
        <v>44187</v>
      </c>
      <c r="B317" s="3">
        <v>21711</v>
      </c>
      <c r="C317" s="3">
        <v>21315</v>
      </c>
      <c r="D317" s="3">
        <v>21810</v>
      </c>
      <c r="E317" s="3">
        <v>21305</v>
      </c>
      <c r="F317" s="3">
        <v>13680</v>
      </c>
      <c r="G317" s="7">
        <f t="shared" si="44"/>
        <v>1</v>
      </c>
      <c r="H317" s="5">
        <f t="shared" si="39"/>
        <v>1.9343631156392319E-2</v>
      </c>
      <c r="I317" s="4">
        <f t="shared" si="40"/>
        <v>-1.250868658790827E-2</v>
      </c>
      <c r="J317" s="4">
        <f t="shared" si="41"/>
        <v>1.0423905489923557E-2</v>
      </c>
      <c r="K317" s="4">
        <f t="shared" si="42"/>
        <v>1.694510739856802E-2</v>
      </c>
      <c r="L317" s="4">
        <f t="shared" si="43"/>
        <v>-0.56994655768626223</v>
      </c>
      <c r="M317" s="3">
        <f t="shared" si="36"/>
        <v>12</v>
      </c>
      <c r="N317" s="3">
        <f t="shared" si="37"/>
        <v>22</v>
      </c>
      <c r="O317" s="3">
        <f t="shared" si="38"/>
        <v>2</v>
      </c>
    </row>
    <row r="318" spans="1:15" x14ac:dyDescent="0.2">
      <c r="A318" s="2">
        <v>44188</v>
      </c>
      <c r="B318" s="3">
        <v>22025</v>
      </c>
      <c r="C318" s="3">
        <v>21815</v>
      </c>
      <c r="D318" s="3">
        <v>22070</v>
      </c>
      <c r="E318" s="3">
        <v>21770</v>
      </c>
      <c r="F318" s="3">
        <v>11670</v>
      </c>
      <c r="G318" s="7">
        <f t="shared" si="44"/>
        <v>1</v>
      </c>
      <c r="H318" s="5">
        <f t="shared" si="39"/>
        <v>1.446271475289024E-2</v>
      </c>
      <c r="I318" s="4">
        <f t="shared" si="40"/>
        <v>2.3457658925639221E-2</v>
      </c>
      <c r="J318" s="4">
        <f t="shared" si="41"/>
        <v>1.1921137093076571E-2</v>
      </c>
      <c r="K318" s="4">
        <f t="shared" si="42"/>
        <v>2.1825862473597746E-2</v>
      </c>
      <c r="L318" s="4">
        <f t="shared" si="43"/>
        <v>-0.14692982456140352</v>
      </c>
      <c r="M318" s="3">
        <f t="shared" si="36"/>
        <v>12</v>
      </c>
      <c r="N318" s="3">
        <f t="shared" si="37"/>
        <v>23</v>
      </c>
      <c r="O318" s="3">
        <f t="shared" si="38"/>
        <v>3</v>
      </c>
    </row>
    <row r="319" spans="1:15" x14ac:dyDescent="0.2">
      <c r="A319" s="2">
        <v>44193</v>
      </c>
      <c r="B319" s="3">
        <v>22181</v>
      </c>
      <c r="C319" s="3">
        <v>22145</v>
      </c>
      <c r="D319" s="3">
        <v>22280</v>
      </c>
      <c r="E319" s="3">
        <v>22125</v>
      </c>
      <c r="F319" s="3">
        <v>9440</v>
      </c>
      <c r="G319" s="7">
        <f t="shared" si="44"/>
        <v>1</v>
      </c>
      <c r="H319" s="5">
        <f t="shared" si="39"/>
        <v>7.0828603859250851E-3</v>
      </c>
      <c r="I319" s="4">
        <f t="shared" si="40"/>
        <v>1.512720605088242E-2</v>
      </c>
      <c r="J319" s="4">
        <f t="shared" si="41"/>
        <v>9.5151789759854999E-3</v>
      </c>
      <c r="K319" s="4">
        <f t="shared" si="42"/>
        <v>1.6306844281120808E-2</v>
      </c>
      <c r="L319" s="4">
        <f t="shared" si="43"/>
        <v>-0.19108826049700087</v>
      </c>
      <c r="M319" s="3">
        <f t="shared" si="36"/>
        <v>12</v>
      </c>
      <c r="N319" s="3">
        <f t="shared" si="37"/>
        <v>28</v>
      </c>
      <c r="O319" s="3">
        <f t="shared" si="38"/>
        <v>1</v>
      </c>
    </row>
    <row r="320" spans="1:15" x14ac:dyDescent="0.2">
      <c r="A320" s="2">
        <v>44194</v>
      </c>
      <c r="B320" s="3">
        <v>22154</v>
      </c>
      <c r="C320" s="3">
        <v>22255</v>
      </c>
      <c r="D320" s="3">
        <v>22295</v>
      </c>
      <c r="E320" s="3">
        <v>22030</v>
      </c>
      <c r="F320" s="3">
        <v>10700</v>
      </c>
      <c r="G320" s="7">
        <f t="shared" si="44"/>
        <v>0</v>
      </c>
      <c r="H320" s="5">
        <f t="shared" si="39"/>
        <v>-1.2172580136152562E-3</v>
      </c>
      <c r="I320" s="4">
        <f t="shared" si="40"/>
        <v>4.9672612327839238E-3</v>
      </c>
      <c r="J320" s="4">
        <f t="shared" si="41"/>
        <v>6.7324955116696591E-4</v>
      </c>
      <c r="K320" s="4">
        <f t="shared" si="42"/>
        <v>-4.2937853107344629E-3</v>
      </c>
      <c r="L320" s="4">
        <f t="shared" si="43"/>
        <v>0.13347457627118645</v>
      </c>
      <c r="M320" s="3">
        <f t="shared" si="36"/>
        <v>12</v>
      </c>
      <c r="N320" s="3">
        <f t="shared" si="37"/>
        <v>29</v>
      </c>
      <c r="O320" s="3">
        <f t="shared" si="38"/>
        <v>2</v>
      </c>
    </row>
    <row r="321" spans="1:15" x14ac:dyDescent="0.2">
      <c r="A321" s="2">
        <v>44195</v>
      </c>
      <c r="B321" s="3">
        <v>22129</v>
      </c>
      <c r="C321" s="3">
        <v>22115</v>
      </c>
      <c r="D321" s="3">
        <v>22240</v>
      </c>
      <c r="E321" s="3">
        <v>22085</v>
      </c>
      <c r="F321" s="3">
        <v>10570</v>
      </c>
      <c r="G321" s="7">
        <f t="shared" si="44"/>
        <v>0</v>
      </c>
      <c r="H321" s="5">
        <f t="shared" si="39"/>
        <v>-1.1284643856639884E-3</v>
      </c>
      <c r="I321" s="4">
        <f t="shared" si="40"/>
        <v>-6.2907211862502808E-3</v>
      </c>
      <c r="J321" s="4">
        <f t="shared" si="41"/>
        <v>-2.466920834267773E-3</v>
      </c>
      <c r="K321" s="4">
        <f t="shared" si="42"/>
        <v>2.4965955515206537E-3</v>
      </c>
      <c r="L321" s="4">
        <f t="shared" si="43"/>
        <v>-1.2149532710280374E-2</v>
      </c>
      <c r="M321" s="3">
        <f t="shared" si="36"/>
        <v>12</v>
      </c>
      <c r="N321" s="3">
        <f t="shared" si="37"/>
        <v>30</v>
      </c>
      <c r="O321" s="3">
        <f t="shared" si="38"/>
        <v>3</v>
      </c>
    </row>
    <row r="322" spans="1:15" x14ac:dyDescent="0.2">
      <c r="A322" s="2">
        <v>44200</v>
      </c>
      <c r="B322" s="3">
        <v>22209</v>
      </c>
      <c r="C322" s="3">
        <v>22195</v>
      </c>
      <c r="D322" s="3">
        <v>22390</v>
      </c>
      <c r="E322" s="3">
        <v>22005</v>
      </c>
      <c r="F322" s="3">
        <v>19530</v>
      </c>
      <c r="G322" s="7">
        <f t="shared" si="44"/>
        <v>1</v>
      </c>
      <c r="H322" s="5">
        <f t="shared" si="39"/>
        <v>3.6151656197749558E-3</v>
      </c>
      <c r="I322" s="4">
        <f t="shared" si="40"/>
        <v>3.6174542165950713E-3</v>
      </c>
      <c r="J322" s="4">
        <f t="shared" si="41"/>
        <v>6.7446043165467623E-3</v>
      </c>
      <c r="K322" s="4">
        <f t="shared" si="42"/>
        <v>-3.622368123160516E-3</v>
      </c>
      <c r="L322" s="4">
        <f t="shared" si="43"/>
        <v>0.84768211920529801</v>
      </c>
      <c r="M322" s="3">
        <f t="shared" ref="M322:M385" si="45">MONTH(A322)</f>
        <v>1</v>
      </c>
      <c r="N322" s="3">
        <f t="shared" ref="N322:N385" si="46">DAY(A322)</f>
        <v>4</v>
      </c>
      <c r="O322" s="3">
        <f t="shared" ref="O322:O385" si="47">WEEKDAY(A322,2)</f>
        <v>1</v>
      </c>
    </row>
    <row r="323" spans="1:15" x14ac:dyDescent="0.2">
      <c r="A323" s="2">
        <v>44201</v>
      </c>
      <c r="B323" s="3">
        <v>22074</v>
      </c>
      <c r="C323" s="3">
        <v>22190</v>
      </c>
      <c r="D323" s="3">
        <v>22250</v>
      </c>
      <c r="E323" s="3">
        <v>21990</v>
      </c>
      <c r="F323" s="3">
        <v>16410</v>
      </c>
      <c r="G323" s="7">
        <f t="shared" si="44"/>
        <v>0</v>
      </c>
      <c r="H323" s="5">
        <f t="shared" ref="H323:H386" si="48">(B323-B322)/B322</f>
        <v>-6.0786167769823042E-3</v>
      </c>
      <c r="I323" s="4">
        <f t="shared" ref="I323:I386" si="49">(C323-C322)/C322</f>
        <v>-2.2527596305474206E-4</v>
      </c>
      <c r="J323" s="4">
        <f t="shared" ref="J323:J386" si="50">(D323-D322)/D322</f>
        <v>-6.2527914247431891E-3</v>
      </c>
      <c r="K323" s="4">
        <f t="shared" ref="K323:K386" si="51">(E323-E322)/E322</f>
        <v>-6.8166325835037494E-4</v>
      </c>
      <c r="L323" s="4">
        <f t="shared" ref="L323:L386" si="52">(F323-F322)/F322</f>
        <v>-0.1597542242703533</v>
      </c>
      <c r="M323" s="3">
        <f t="shared" si="45"/>
        <v>1</v>
      </c>
      <c r="N323" s="3">
        <f t="shared" si="46"/>
        <v>5</v>
      </c>
      <c r="O323" s="3">
        <f t="shared" si="47"/>
        <v>2</v>
      </c>
    </row>
    <row r="324" spans="1:15" x14ac:dyDescent="0.2">
      <c r="A324" s="2">
        <v>44202</v>
      </c>
      <c r="B324" s="3">
        <v>22629</v>
      </c>
      <c r="C324" s="3">
        <v>22210</v>
      </c>
      <c r="D324" s="3">
        <v>22730</v>
      </c>
      <c r="E324" s="3">
        <v>22105</v>
      </c>
      <c r="F324" s="3">
        <v>25460</v>
      </c>
      <c r="G324" s="7">
        <f t="shared" ref="G324:G387" si="53">IF(H324&lt;0, 0, 1)</f>
        <v>1</v>
      </c>
      <c r="H324" s="5">
        <f t="shared" si="48"/>
        <v>2.514270182114705E-2</v>
      </c>
      <c r="I324" s="4">
        <f t="shared" si="49"/>
        <v>9.0130689499774675E-4</v>
      </c>
      <c r="J324" s="4">
        <f t="shared" si="50"/>
        <v>2.1573033707865168E-2</v>
      </c>
      <c r="K324" s="4">
        <f t="shared" si="51"/>
        <v>5.2296498408367443E-3</v>
      </c>
      <c r="L324" s="4">
        <f t="shared" si="52"/>
        <v>0.55149299207800118</v>
      </c>
      <c r="M324" s="3">
        <f t="shared" si="45"/>
        <v>1</v>
      </c>
      <c r="N324" s="3">
        <f t="shared" si="46"/>
        <v>6</v>
      </c>
      <c r="O324" s="3">
        <f t="shared" si="47"/>
        <v>3</v>
      </c>
    </row>
    <row r="325" spans="1:15" x14ac:dyDescent="0.2">
      <c r="A325" s="2">
        <v>44203</v>
      </c>
      <c r="B325" s="3">
        <v>22669</v>
      </c>
      <c r="C325" s="3">
        <v>22740</v>
      </c>
      <c r="D325" s="3">
        <v>22835</v>
      </c>
      <c r="E325" s="3">
        <v>22520</v>
      </c>
      <c r="F325" s="3">
        <v>16420</v>
      </c>
      <c r="G325" s="7">
        <f t="shared" si="53"/>
        <v>1</v>
      </c>
      <c r="H325" s="5">
        <f t="shared" si="48"/>
        <v>1.7676432895841619E-3</v>
      </c>
      <c r="I325" s="4">
        <f t="shared" si="49"/>
        <v>2.3863124718595228E-2</v>
      </c>
      <c r="J325" s="4">
        <f t="shared" si="50"/>
        <v>4.6194456665200178E-3</v>
      </c>
      <c r="K325" s="4">
        <f t="shared" si="51"/>
        <v>1.877403302420267E-2</v>
      </c>
      <c r="L325" s="4">
        <f t="shared" si="52"/>
        <v>-0.35506677140612725</v>
      </c>
      <c r="M325" s="3">
        <f t="shared" si="45"/>
        <v>1</v>
      </c>
      <c r="N325" s="3">
        <f t="shared" si="46"/>
        <v>7</v>
      </c>
      <c r="O325" s="3">
        <f t="shared" si="47"/>
        <v>4</v>
      </c>
    </row>
    <row r="326" spans="1:15" x14ac:dyDescent="0.2">
      <c r="A326" s="2">
        <v>44204</v>
      </c>
      <c r="B326" s="3">
        <v>22641</v>
      </c>
      <c r="C326" s="3">
        <v>22835</v>
      </c>
      <c r="D326" s="3">
        <v>22910</v>
      </c>
      <c r="E326" s="3">
        <v>22575</v>
      </c>
      <c r="F326" s="3">
        <v>20400</v>
      </c>
      <c r="G326" s="7">
        <f t="shared" si="53"/>
        <v>0</v>
      </c>
      <c r="H326" s="5">
        <f t="shared" si="48"/>
        <v>-1.2351669681062243E-3</v>
      </c>
      <c r="I326" s="4">
        <f t="shared" si="49"/>
        <v>4.1776605101143359E-3</v>
      </c>
      <c r="J326" s="4">
        <f t="shared" si="50"/>
        <v>3.2844317932997592E-3</v>
      </c>
      <c r="K326" s="4">
        <f t="shared" si="51"/>
        <v>2.4422735346358794E-3</v>
      </c>
      <c r="L326" s="4">
        <f t="shared" si="52"/>
        <v>0.24238733252131547</v>
      </c>
      <c r="M326" s="3">
        <f t="shared" si="45"/>
        <v>1</v>
      </c>
      <c r="N326" s="3">
        <f t="shared" si="46"/>
        <v>8</v>
      </c>
      <c r="O326" s="3">
        <f t="shared" si="47"/>
        <v>5</v>
      </c>
    </row>
    <row r="327" spans="1:15" x14ac:dyDescent="0.2">
      <c r="A327" s="2">
        <v>44207</v>
      </c>
      <c r="B327" s="3">
        <v>22602</v>
      </c>
      <c r="C327" s="3">
        <v>22550</v>
      </c>
      <c r="D327" s="3">
        <v>22700</v>
      </c>
      <c r="E327" s="3">
        <v>22395</v>
      </c>
      <c r="F327" s="3">
        <v>15230</v>
      </c>
      <c r="G327" s="7">
        <f t="shared" si="53"/>
        <v>0</v>
      </c>
      <c r="H327" s="5">
        <f t="shared" si="48"/>
        <v>-1.7225387571220352E-3</v>
      </c>
      <c r="I327" s="4">
        <f t="shared" si="49"/>
        <v>-1.2480840814539085E-2</v>
      </c>
      <c r="J327" s="4">
        <f t="shared" si="50"/>
        <v>-9.1663029244871234E-3</v>
      </c>
      <c r="K327" s="4">
        <f t="shared" si="51"/>
        <v>-7.9734219269102981E-3</v>
      </c>
      <c r="L327" s="4">
        <f t="shared" si="52"/>
        <v>-0.2534313725490196</v>
      </c>
      <c r="M327" s="3">
        <f t="shared" si="45"/>
        <v>1</v>
      </c>
      <c r="N327" s="3">
        <f t="shared" si="46"/>
        <v>11</v>
      </c>
      <c r="O327" s="3">
        <f t="shared" si="47"/>
        <v>1</v>
      </c>
    </row>
    <row r="328" spans="1:15" x14ac:dyDescent="0.2">
      <c r="A328" s="2">
        <v>44208</v>
      </c>
      <c r="B328" s="3">
        <v>22545</v>
      </c>
      <c r="C328" s="3">
        <v>22665</v>
      </c>
      <c r="D328" s="3">
        <v>22715</v>
      </c>
      <c r="E328" s="3">
        <v>22445</v>
      </c>
      <c r="F328" s="3">
        <v>16800</v>
      </c>
      <c r="G328" s="7">
        <f t="shared" si="53"/>
        <v>0</v>
      </c>
      <c r="H328" s="5">
        <f t="shared" si="48"/>
        <v>-2.52190071675073E-3</v>
      </c>
      <c r="I328" s="4">
        <f t="shared" si="49"/>
        <v>5.0997782705099783E-3</v>
      </c>
      <c r="J328" s="4">
        <f t="shared" si="50"/>
        <v>6.6079295154185019E-4</v>
      </c>
      <c r="K328" s="4">
        <f t="shared" si="51"/>
        <v>2.2326412145568207E-3</v>
      </c>
      <c r="L328" s="4">
        <f t="shared" si="52"/>
        <v>0.103086014445174</v>
      </c>
      <c r="M328" s="3">
        <f t="shared" si="45"/>
        <v>1</v>
      </c>
      <c r="N328" s="3">
        <f t="shared" si="46"/>
        <v>12</v>
      </c>
      <c r="O328" s="3">
        <f t="shared" si="47"/>
        <v>2</v>
      </c>
    </row>
    <row r="329" spans="1:15" x14ac:dyDescent="0.2">
      <c r="A329" s="2">
        <v>44209</v>
      </c>
      <c r="B329" s="3">
        <v>22645</v>
      </c>
      <c r="C329" s="3">
        <v>22570</v>
      </c>
      <c r="D329" s="3">
        <v>22715</v>
      </c>
      <c r="E329" s="3">
        <v>22470</v>
      </c>
      <c r="F329" s="3">
        <v>14270</v>
      </c>
      <c r="G329" s="7">
        <f t="shared" si="53"/>
        <v>1</v>
      </c>
      <c r="H329" s="5">
        <f t="shared" si="48"/>
        <v>4.4355732978487473E-3</v>
      </c>
      <c r="I329" s="4">
        <f t="shared" si="49"/>
        <v>-4.1914846679902938E-3</v>
      </c>
      <c r="J329" s="4">
        <f t="shared" si="50"/>
        <v>0</v>
      </c>
      <c r="K329" s="4">
        <f t="shared" si="51"/>
        <v>1.1138338159946536E-3</v>
      </c>
      <c r="L329" s="4">
        <f t="shared" si="52"/>
        <v>-0.15059523809523809</v>
      </c>
      <c r="M329" s="3">
        <f t="shared" si="45"/>
        <v>1</v>
      </c>
      <c r="N329" s="3">
        <f t="shared" si="46"/>
        <v>13</v>
      </c>
      <c r="O329" s="3">
        <f t="shared" si="47"/>
        <v>3</v>
      </c>
    </row>
    <row r="330" spans="1:15" x14ac:dyDescent="0.2">
      <c r="A330" s="2">
        <v>44210</v>
      </c>
      <c r="B330" s="3">
        <v>22559</v>
      </c>
      <c r="C330" s="3">
        <v>22670</v>
      </c>
      <c r="D330" s="3">
        <v>22775</v>
      </c>
      <c r="E330" s="3">
        <v>22535</v>
      </c>
      <c r="F330" s="3">
        <v>21940</v>
      </c>
      <c r="G330" s="7">
        <f t="shared" si="53"/>
        <v>0</v>
      </c>
      <c r="H330" s="5">
        <f t="shared" si="48"/>
        <v>-3.797747847206889E-3</v>
      </c>
      <c r="I330" s="4">
        <f t="shared" si="49"/>
        <v>4.4306601683650861E-3</v>
      </c>
      <c r="J330" s="4">
        <f t="shared" si="50"/>
        <v>2.6414263702399295E-3</v>
      </c>
      <c r="K330" s="4">
        <f t="shared" si="51"/>
        <v>2.8927458834000891E-3</v>
      </c>
      <c r="L330" s="4">
        <f t="shared" si="52"/>
        <v>0.53749124036440088</v>
      </c>
      <c r="M330" s="3">
        <f t="shared" si="45"/>
        <v>1</v>
      </c>
      <c r="N330" s="3">
        <f t="shared" si="46"/>
        <v>14</v>
      </c>
      <c r="O330" s="3">
        <f t="shared" si="47"/>
        <v>4</v>
      </c>
    </row>
    <row r="331" spans="1:15" x14ac:dyDescent="0.2">
      <c r="A331" s="2">
        <v>44211</v>
      </c>
      <c r="B331" s="3">
        <v>22284</v>
      </c>
      <c r="C331" s="3">
        <v>22420</v>
      </c>
      <c r="D331" s="3">
        <v>22645</v>
      </c>
      <c r="E331" s="3">
        <v>22130</v>
      </c>
      <c r="F331" s="3">
        <v>22730</v>
      </c>
      <c r="G331" s="7">
        <f t="shared" si="53"/>
        <v>0</v>
      </c>
      <c r="H331" s="5">
        <f t="shared" si="48"/>
        <v>-1.2190256660312957E-2</v>
      </c>
      <c r="I331" s="4">
        <f t="shared" si="49"/>
        <v>-1.1027790030877812E-2</v>
      </c>
      <c r="J331" s="4">
        <f t="shared" si="50"/>
        <v>-5.7080131723380896E-3</v>
      </c>
      <c r="K331" s="4">
        <f t="shared" si="51"/>
        <v>-1.79720434879077E-2</v>
      </c>
      <c r="L331" s="4">
        <f t="shared" si="52"/>
        <v>3.6007292616226073E-2</v>
      </c>
      <c r="M331" s="3">
        <f t="shared" si="45"/>
        <v>1</v>
      </c>
      <c r="N331" s="3">
        <f t="shared" si="46"/>
        <v>15</v>
      </c>
      <c r="O331" s="3">
        <f t="shared" si="47"/>
        <v>5</v>
      </c>
    </row>
    <row r="332" spans="1:15" x14ac:dyDescent="0.2">
      <c r="A332" s="2">
        <v>44214</v>
      </c>
      <c r="B332" s="3">
        <v>22464</v>
      </c>
      <c r="C332" s="3">
        <v>22200</v>
      </c>
      <c r="D332" s="3">
        <v>22575</v>
      </c>
      <c r="E332" s="3">
        <v>22160</v>
      </c>
      <c r="F332" s="3">
        <v>11340</v>
      </c>
      <c r="G332" s="7">
        <f t="shared" si="53"/>
        <v>1</v>
      </c>
      <c r="H332" s="5">
        <f t="shared" si="48"/>
        <v>8.0775444264943458E-3</v>
      </c>
      <c r="I332" s="4">
        <f t="shared" si="49"/>
        <v>-9.8126672613737739E-3</v>
      </c>
      <c r="J332" s="4">
        <f t="shared" si="50"/>
        <v>-3.0911901081916537E-3</v>
      </c>
      <c r="K332" s="4">
        <f t="shared" si="51"/>
        <v>1.3556258472661546E-3</v>
      </c>
      <c r="L332" s="4">
        <f t="shared" si="52"/>
        <v>-0.50109986801583806</v>
      </c>
      <c r="M332" s="3">
        <f t="shared" si="45"/>
        <v>1</v>
      </c>
      <c r="N332" s="3">
        <f t="shared" si="46"/>
        <v>18</v>
      </c>
      <c r="O332" s="3">
        <f t="shared" si="47"/>
        <v>1</v>
      </c>
    </row>
    <row r="333" spans="1:15" x14ac:dyDescent="0.2">
      <c r="A333" s="2">
        <v>44215</v>
      </c>
      <c r="B333" s="3">
        <v>22399</v>
      </c>
      <c r="C333" s="3">
        <v>22600</v>
      </c>
      <c r="D333" s="3">
        <v>22615</v>
      </c>
      <c r="E333" s="3">
        <v>22380</v>
      </c>
      <c r="F333" s="3">
        <v>15170</v>
      </c>
      <c r="G333" s="7">
        <f t="shared" si="53"/>
        <v>0</v>
      </c>
      <c r="H333" s="5">
        <f t="shared" si="48"/>
        <v>-2.8935185185185184E-3</v>
      </c>
      <c r="I333" s="4">
        <f t="shared" si="49"/>
        <v>1.8018018018018018E-2</v>
      </c>
      <c r="J333" s="4">
        <f t="shared" si="50"/>
        <v>1.7718715393133999E-3</v>
      </c>
      <c r="K333" s="4">
        <f t="shared" si="51"/>
        <v>9.9277978339350186E-3</v>
      </c>
      <c r="L333" s="4">
        <f t="shared" si="52"/>
        <v>0.33774250440917108</v>
      </c>
      <c r="M333" s="3">
        <f t="shared" si="45"/>
        <v>1</v>
      </c>
      <c r="N333" s="3">
        <f t="shared" si="46"/>
        <v>19</v>
      </c>
      <c r="O333" s="3">
        <f t="shared" si="47"/>
        <v>2</v>
      </c>
    </row>
    <row r="334" spans="1:15" x14ac:dyDescent="0.2">
      <c r="A334" s="2">
        <v>44216</v>
      </c>
      <c r="B334" s="3">
        <v>22594</v>
      </c>
      <c r="C334" s="3">
        <v>22475</v>
      </c>
      <c r="D334" s="3">
        <v>22705</v>
      </c>
      <c r="E334" s="3">
        <v>22455</v>
      </c>
      <c r="F334" s="3">
        <v>15660</v>
      </c>
      <c r="G334" s="7">
        <f t="shared" si="53"/>
        <v>1</v>
      </c>
      <c r="H334" s="5">
        <f t="shared" si="48"/>
        <v>8.7057457922228663E-3</v>
      </c>
      <c r="I334" s="4">
        <f t="shared" si="49"/>
        <v>-5.5309734513274336E-3</v>
      </c>
      <c r="J334" s="4">
        <f t="shared" si="50"/>
        <v>3.9796595180190139E-3</v>
      </c>
      <c r="K334" s="4">
        <f t="shared" si="51"/>
        <v>3.351206434316354E-3</v>
      </c>
      <c r="L334" s="4">
        <f t="shared" si="52"/>
        <v>3.2300593276203035E-2</v>
      </c>
      <c r="M334" s="3">
        <f t="shared" si="45"/>
        <v>1</v>
      </c>
      <c r="N334" s="3">
        <f t="shared" si="46"/>
        <v>20</v>
      </c>
      <c r="O334" s="3">
        <f t="shared" si="47"/>
        <v>3</v>
      </c>
    </row>
    <row r="335" spans="1:15" x14ac:dyDescent="0.2">
      <c r="A335" s="2">
        <v>44217</v>
      </c>
      <c r="B335" s="3">
        <v>22408</v>
      </c>
      <c r="C335" s="3">
        <v>22695</v>
      </c>
      <c r="D335" s="3">
        <v>22790</v>
      </c>
      <c r="E335" s="3">
        <v>22330</v>
      </c>
      <c r="F335" s="3">
        <v>19620</v>
      </c>
      <c r="G335" s="7">
        <f t="shared" si="53"/>
        <v>0</v>
      </c>
      <c r="H335" s="5">
        <f t="shared" si="48"/>
        <v>-8.2322740550588649E-3</v>
      </c>
      <c r="I335" s="4">
        <f t="shared" si="49"/>
        <v>9.7886540600667406E-3</v>
      </c>
      <c r="J335" s="4">
        <f t="shared" si="50"/>
        <v>3.743668795419511E-3</v>
      </c>
      <c r="K335" s="4">
        <f t="shared" si="51"/>
        <v>-5.5666889334224003E-3</v>
      </c>
      <c r="L335" s="4">
        <f t="shared" si="52"/>
        <v>0.25287356321839083</v>
      </c>
      <c r="M335" s="3">
        <f t="shared" si="45"/>
        <v>1</v>
      </c>
      <c r="N335" s="3">
        <f t="shared" si="46"/>
        <v>21</v>
      </c>
      <c r="O335" s="3">
        <f t="shared" si="47"/>
        <v>4</v>
      </c>
    </row>
    <row r="336" spans="1:15" x14ac:dyDescent="0.2">
      <c r="A336" s="2">
        <v>44218</v>
      </c>
      <c r="B336" s="3">
        <v>22040</v>
      </c>
      <c r="C336" s="3">
        <v>22350</v>
      </c>
      <c r="D336" s="3">
        <v>22370</v>
      </c>
      <c r="E336" s="3">
        <v>21880</v>
      </c>
      <c r="F336" s="3">
        <v>25660</v>
      </c>
      <c r="G336" s="7">
        <f t="shared" si="53"/>
        <v>0</v>
      </c>
      <c r="H336" s="5">
        <f t="shared" si="48"/>
        <v>-1.6422706176365584E-2</v>
      </c>
      <c r="I336" s="4">
        <f t="shared" si="49"/>
        <v>-1.520158625247852E-2</v>
      </c>
      <c r="J336" s="4">
        <f t="shared" si="50"/>
        <v>-1.8429135585783237E-2</v>
      </c>
      <c r="K336" s="4">
        <f t="shared" si="51"/>
        <v>-2.0152261531571878E-2</v>
      </c>
      <c r="L336" s="4">
        <f t="shared" si="52"/>
        <v>0.30784913353720694</v>
      </c>
      <c r="M336" s="3">
        <f t="shared" si="45"/>
        <v>1</v>
      </c>
      <c r="N336" s="3">
        <f t="shared" si="46"/>
        <v>22</v>
      </c>
      <c r="O336" s="3">
        <f t="shared" si="47"/>
        <v>5</v>
      </c>
    </row>
    <row r="337" spans="1:15" x14ac:dyDescent="0.2">
      <c r="A337" s="2">
        <v>44221</v>
      </c>
      <c r="B337" s="3">
        <v>21694</v>
      </c>
      <c r="C337" s="3">
        <v>22140</v>
      </c>
      <c r="D337" s="3">
        <v>22230</v>
      </c>
      <c r="E337" s="3">
        <v>21635</v>
      </c>
      <c r="F337" s="3">
        <v>23540</v>
      </c>
      <c r="G337" s="7">
        <f t="shared" si="53"/>
        <v>0</v>
      </c>
      <c r="H337" s="5">
        <f t="shared" si="48"/>
        <v>-1.5698729582577134E-2</v>
      </c>
      <c r="I337" s="4">
        <f t="shared" si="49"/>
        <v>-9.3959731543624154E-3</v>
      </c>
      <c r="J337" s="4">
        <f t="shared" si="50"/>
        <v>-6.2583817612874388E-3</v>
      </c>
      <c r="K337" s="4">
        <f t="shared" si="51"/>
        <v>-1.1197440585009141E-2</v>
      </c>
      <c r="L337" s="4">
        <f t="shared" si="52"/>
        <v>-8.2618862042088848E-2</v>
      </c>
      <c r="M337" s="3">
        <f t="shared" si="45"/>
        <v>1</v>
      </c>
      <c r="N337" s="3">
        <f t="shared" si="46"/>
        <v>25</v>
      </c>
      <c r="O337" s="3">
        <f t="shared" si="47"/>
        <v>1</v>
      </c>
    </row>
    <row r="338" spans="1:15" x14ac:dyDescent="0.2">
      <c r="A338" s="2">
        <v>44222</v>
      </c>
      <c r="B338" s="3">
        <v>21973</v>
      </c>
      <c r="C338" s="3">
        <v>21610</v>
      </c>
      <c r="D338" s="3">
        <v>22045</v>
      </c>
      <c r="E338" s="3">
        <v>21550</v>
      </c>
      <c r="F338" s="3">
        <v>18630</v>
      </c>
      <c r="G338" s="7">
        <f t="shared" si="53"/>
        <v>1</v>
      </c>
      <c r="H338" s="5">
        <f t="shared" si="48"/>
        <v>1.2860698810731078E-2</v>
      </c>
      <c r="I338" s="4">
        <f t="shared" si="49"/>
        <v>-2.3938572719060525E-2</v>
      </c>
      <c r="J338" s="4">
        <f t="shared" si="50"/>
        <v>-8.322087269455691E-3</v>
      </c>
      <c r="K338" s="4">
        <f t="shared" si="51"/>
        <v>-3.9288190432170099E-3</v>
      </c>
      <c r="L338" s="4">
        <f t="shared" si="52"/>
        <v>-0.20858113848768053</v>
      </c>
      <c r="M338" s="3">
        <f t="shared" si="45"/>
        <v>1</v>
      </c>
      <c r="N338" s="3">
        <f t="shared" si="46"/>
        <v>26</v>
      </c>
      <c r="O338" s="3">
        <f t="shared" si="47"/>
        <v>2</v>
      </c>
    </row>
    <row r="339" spans="1:15" x14ac:dyDescent="0.2">
      <c r="A339" s="2">
        <v>44223</v>
      </c>
      <c r="B339" s="3">
        <v>21636</v>
      </c>
      <c r="C339" s="3">
        <v>21985</v>
      </c>
      <c r="D339" s="3">
        <v>21985</v>
      </c>
      <c r="E339" s="3">
        <v>21390</v>
      </c>
      <c r="F339" s="3">
        <v>24870</v>
      </c>
      <c r="G339" s="7">
        <f t="shared" si="53"/>
        <v>0</v>
      </c>
      <c r="H339" s="5">
        <f t="shared" si="48"/>
        <v>-1.5337004505529514E-2</v>
      </c>
      <c r="I339" s="4">
        <f t="shared" si="49"/>
        <v>1.7353077279037482E-2</v>
      </c>
      <c r="J339" s="4">
        <f t="shared" si="50"/>
        <v>-2.7217056021773644E-3</v>
      </c>
      <c r="K339" s="4">
        <f t="shared" si="51"/>
        <v>-7.4245939675174014E-3</v>
      </c>
      <c r="L339" s="4">
        <f t="shared" si="52"/>
        <v>0.33494363929146537</v>
      </c>
      <c r="M339" s="3">
        <f t="shared" si="45"/>
        <v>1</v>
      </c>
      <c r="N339" s="3">
        <f t="shared" si="46"/>
        <v>27</v>
      </c>
      <c r="O339" s="3">
        <f t="shared" si="47"/>
        <v>3</v>
      </c>
    </row>
    <row r="340" spans="1:15" x14ac:dyDescent="0.2">
      <c r="A340" s="2">
        <v>44224</v>
      </c>
      <c r="B340" s="3">
        <v>21875</v>
      </c>
      <c r="C340" s="3">
        <v>21450</v>
      </c>
      <c r="D340" s="3">
        <v>21955</v>
      </c>
      <c r="E340" s="3">
        <v>21280</v>
      </c>
      <c r="F340" s="3">
        <v>30320</v>
      </c>
      <c r="G340" s="7">
        <f t="shared" si="53"/>
        <v>1</v>
      </c>
      <c r="H340" s="5">
        <f t="shared" si="48"/>
        <v>1.1046404141246071E-2</v>
      </c>
      <c r="I340" s="4">
        <f t="shared" si="49"/>
        <v>-2.4334773709347283E-2</v>
      </c>
      <c r="J340" s="4">
        <f t="shared" si="50"/>
        <v>-1.3645667500568569E-3</v>
      </c>
      <c r="K340" s="4">
        <f t="shared" si="51"/>
        <v>-5.1425899953249183E-3</v>
      </c>
      <c r="L340" s="4">
        <f t="shared" si="52"/>
        <v>0.21913952553277041</v>
      </c>
      <c r="M340" s="3">
        <f t="shared" si="45"/>
        <v>1</v>
      </c>
      <c r="N340" s="3">
        <f t="shared" si="46"/>
        <v>28</v>
      </c>
      <c r="O340" s="3">
        <f t="shared" si="47"/>
        <v>4</v>
      </c>
    </row>
    <row r="341" spans="1:15" x14ac:dyDescent="0.2">
      <c r="A341" s="2">
        <v>44225</v>
      </c>
      <c r="B341" s="3">
        <v>21538</v>
      </c>
      <c r="C341" s="3">
        <v>21675</v>
      </c>
      <c r="D341" s="3">
        <v>21760</v>
      </c>
      <c r="E341" s="3">
        <v>21410</v>
      </c>
      <c r="F341" s="3">
        <v>25530</v>
      </c>
      <c r="G341" s="7">
        <f t="shared" si="53"/>
        <v>0</v>
      </c>
      <c r="H341" s="5">
        <f t="shared" si="48"/>
        <v>-1.5405714285714286E-2</v>
      </c>
      <c r="I341" s="4">
        <f t="shared" si="49"/>
        <v>1.048951048951049E-2</v>
      </c>
      <c r="J341" s="4">
        <f t="shared" si="50"/>
        <v>-8.8818036893646094E-3</v>
      </c>
      <c r="K341" s="4">
        <f t="shared" si="51"/>
        <v>6.1090225563909771E-3</v>
      </c>
      <c r="L341" s="4">
        <f t="shared" si="52"/>
        <v>-0.15798153034300791</v>
      </c>
      <c r="M341" s="3">
        <f t="shared" si="45"/>
        <v>1</v>
      </c>
      <c r="N341" s="3">
        <f t="shared" si="46"/>
        <v>29</v>
      </c>
      <c r="O341" s="3">
        <f t="shared" si="47"/>
        <v>5</v>
      </c>
    </row>
    <row r="342" spans="1:15" x14ac:dyDescent="0.2">
      <c r="A342" s="2">
        <v>44228</v>
      </c>
      <c r="B342" s="3">
        <v>21791</v>
      </c>
      <c r="C342" s="3">
        <v>21735</v>
      </c>
      <c r="D342" s="3">
        <v>21915</v>
      </c>
      <c r="E342" s="3">
        <v>21585</v>
      </c>
      <c r="F342" s="3">
        <v>19010</v>
      </c>
      <c r="G342" s="7">
        <f t="shared" si="53"/>
        <v>1</v>
      </c>
      <c r="H342" s="5">
        <f t="shared" si="48"/>
        <v>1.1746680286006129E-2</v>
      </c>
      <c r="I342" s="4">
        <f t="shared" si="49"/>
        <v>2.7681660899653978E-3</v>
      </c>
      <c r="J342" s="4">
        <f t="shared" si="50"/>
        <v>7.1231617647058822E-3</v>
      </c>
      <c r="K342" s="4">
        <f t="shared" si="51"/>
        <v>8.173750583839328E-3</v>
      </c>
      <c r="L342" s="4">
        <f t="shared" si="52"/>
        <v>-0.25538582060321191</v>
      </c>
      <c r="M342" s="3">
        <f t="shared" si="45"/>
        <v>2</v>
      </c>
      <c r="N342" s="3">
        <f t="shared" si="46"/>
        <v>1</v>
      </c>
      <c r="O342" s="3">
        <f t="shared" si="47"/>
        <v>1</v>
      </c>
    </row>
    <row r="343" spans="1:15" x14ac:dyDescent="0.2">
      <c r="A343" s="2">
        <v>44229</v>
      </c>
      <c r="B343" s="3">
        <v>22018</v>
      </c>
      <c r="C343" s="3">
        <v>21960</v>
      </c>
      <c r="D343" s="3">
        <v>22505</v>
      </c>
      <c r="E343" s="3">
        <v>21910</v>
      </c>
      <c r="F343" s="3">
        <v>20510</v>
      </c>
      <c r="G343" s="7">
        <f t="shared" si="53"/>
        <v>1</v>
      </c>
      <c r="H343" s="5">
        <f t="shared" si="48"/>
        <v>1.0417144692763067E-2</v>
      </c>
      <c r="I343" s="4">
        <f t="shared" si="49"/>
        <v>1.0351966873706004E-2</v>
      </c>
      <c r="J343" s="4">
        <f t="shared" si="50"/>
        <v>2.6922199406798995E-2</v>
      </c>
      <c r="K343" s="4">
        <f t="shared" si="51"/>
        <v>1.5056752374334029E-2</v>
      </c>
      <c r="L343" s="4">
        <f t="shared" si="52"/>
        <v>7.8905839032088379E-2</v>
      </c>
      <c r="M343" s="3">
        <f t="shared" si="45"/>
        <v>2</v>
      </c>
      <c r="N343" s="3">
        <f t="shared" si="46"/>
        <v>2</v>
      </c>
      <c r="O343" s="3">
        <f t="shared" si="47"/>
        <v>2</v>
      </c>
    </row>
    <row r="344" spans="1:15" x14ac:dyDescent="0.2">
      <c r="A344" s="2">
        <v>44230</v>
      </c>
      <c r="B344" s="3">
        <v>22504</v>
      </c>
      <c r="C344" s="3">
        <v>22595</v>
      </c>
      <c r="D344" s="3">
        <v>22750</v>
      </c>
      <c r="E344" s="3">
        <v>22440</v>
      </c>
      <c r="F344" s="3">
        <v>27970</v>
      </c>
      <c r="G344" s="7">
        <f t="shared" si="53"/>
        <v>1</v>
      </c>
      <c r="H344" s="5">
        <f t="shared" si="48"/>
        <v>2.2072849486783539E-2</v>
      </c>
      <c r="I344" s="4">
        <f t="shared" si="49"/>
        <v>2.8916211293260472E-2</v>
      </c>
      <c r="J344" s="4">
        <f t="shared" si="50"/>
        <v>1.088646967340591E-2</v>
      </c>
      <c r="K344" s="4">
        <f t="shared" si="51"/>
        <v>2.4189867640346873E-2</v>
      </c>
      <c r="L344" s="4">
        <f t="shared" si="52"/>
        <v>0.36372501218917602</v>
      </c>
      <c r="M344" s="3">
        <f t="shared" si="45"/>
        <v>2</v>
      </c>
      <c r="N344" s="3">
        <f t="shared" si="46"/>
        <v>3</v>
      </c>
      <c r="O344" s="3">
        <f t="shared" si="47"/>
        <v>3</v>
      </c>
    </row>
    <row r="345" spans="1:15" x14ac:dyDescent="0.2">
      <c r="A345" s="2">
        <v>44231</v>
      </c>
      <c r="B345" s="3">
        <v>22898</v>
      </c>
      <c r="C345" s="3">
        <v>22575</v>
      </c>
      <c r="D345" s="3">
        <v>23020</v>
      </c>
      <c r="E345" s="3">
        <v>22470</v>
      </c>
      <c r="F345" s="3">
        <v>26000</v>
      </c>
      <c r="G345" s="7">
        <f t="shared" si="53"/>
        <v>1</v>
      </c>
      <c r="H345" s="5">
        <f t="shared" si="48"/>
        <v>1.7507998578030572E-2</v>
      </c>
      <c r="I345" s="4">
        <f t="shared" si="49"/>
        <v>-8.8515158220845325E-4</v>
      </c>
      <c r="J345" s="4">
        <f t="shared" si="50"/>
        <v>1.1868131868131869E-2</v>
      </c>
      <c r="K345" s="4">
        <f t="shared" si="51"/>
        <v>1.3368983957219251E-3</v>
      </c>
      <c r="L345" s="4">
        <f t="shared" si="52"/>
        <v>-7.0432606363961384E-2</v>
      </c>
      <c r="M345" s="3">
        <f t="shared" si="45"/>
        <v>2</v>
      </c>
      <c r="N345" s="3">
        <f t="shared" si="46"/>
        <v>4</v>
      </c>
      <c r="O345" s="3">
        <f t="shared" si="47"/>
        <v>4</v>
      </c>
    </row>
    <row r="346" spans="1:15" x14ac:dyDescent="0.2">
      <c r="A346" s="2">
        <v>44232</v>
      </c>
      <c r="B346" s="3">
        <v>23079</v>
      </c>
      <c r="C346" s="3">
        <v>23060</v>
      </c>
      <c r="D346" s="3">
        <v>23270</v>
      </c>
      <c r="E346" s="3">
        <v>22925</v>
      </c>
      <c r="F346" s="3">
        <v>25520</v>
      </c>
      <c r="G346" s="7">
        <f t="shared" si="53"/>
        <v>1</v>
      </c>
      <c r="H346" s="5">
        <f t="shared" si="48"/>
        <v>7.9046204908725659E-3</v>
      </c>
      <c r="I346" s="4">
        <f t="shared" si="49"/>
        <v>2.1483942414174971E-2</v>
      </c>
      <c r="J346" s="4">
        <f t="shared" si="50"/>
        <v>1.0860121633362294E-2</v>
      </c>
      <c r="K346" s="4">
        <f t="shared" si="51"/>
        <v>2.0249221183800622E-2</v>
      </c>
      <c r="L346" s="4">
        <f t="shared" si="52"/>
        <v>-1.8461538461538463E-2</v>
      </c>
      <c r="M346" s="3">
        <f t="shared" si="45"/>
        <v>2</v>
      </c>
      <c r="N346" s="3">
        <f t="shared" si="46"/>
        <v>5</v>
      </c>
      <c r="O346" s="3">
        <f t="shared" si="47"/>
        <v>5</v>
      </c>
    </row>
    <row r="347" spans="1:15" x14ac:dyDescent="0.2">
      <c r="A347" s="2">
        <v>44235</v>
      </c>
      <c r="B347" s="3">
        <v>23449</v>
      </c>
      <c r="C347" s="3">
        <v>23275</v>
      </c>
      <c r="D347" s="3">
        <v>23515</v>
      </c>
      <c r="E347" s="3">
        <v>23220</v>
      </c>
      <c r="F347" s="3">
        <v>24840</v>
      </c>
      <c r="G347" s="7">
        <f t="shared" si="53"/>
        <v>1</v>
      </c>
      <c r="H347" s="5">
        <f t="shared" si="48"/>
        <v>1.6031890463191645E-2</v>
      </c>
      <c r="I347" s="4">
        <f t="shared" si="49"/>
        <v>9.3235039028620997E-3</v>
      </c>
      <c r="J347" s="4">
        <f t="shared" si="50"/>
        <v>1.0528577567683713E-2</v>
      </c>
      <c r="K347" s="4">
        <f t="shared" si="51"/>
        <v>1.2868047982551799E-2</v>
      </c>
      <c r="L347" s="4">
        <f t="shared" si="52"/>
        <v>-2.664576802507837E-2</v>
      </c>
      <c r="M347" s="3">
        <f t="shared" si="45"/>
        <v>2</v>
      </c>
      <c r="N347" s="3">
        <f t="shared" si="46"/>
        <v>8</v>
      </c>
      <c r="O347" s="3">
        <f t="shared" si="47"/>
        <v>1</v>
      </c>
    </row>
    <row r="348" spans="1:15" x14ac:dyDescent="0.2">
      <c r="A348" s="2">
        <v>44236</v>
      </c>
      <c r="B348" s="3">
        <v>23295</v>
      </c>
      <c r="C348" s="3">
        <v>23480</v>
      </c>
      <c r="D348" s="3">
        <v>23490</v>
      </c>
      <c r="E348" s="3">
        <v>23240</v>
      </c>
      <c r="F348" s="3">
        <v>18800</v>
      </c>
      <c r="G348" s="7">
        <f t="shared" si="53"/>
        <v>0</v>
      </c>
      <c r="H348" s="5">
        <f t="shared" si="48"/>
        <v>-6.567444240692567E-3</v>
      </c>
      <c r="I348" s="4">
        <f t="shared" si="49"/>
        <v>8.8077336197636951E-3</v>
      </c>
      <c r="J348" s="4">
        <f t="shared" si="50"/>
        <v>-1.06315118009781E-3</v>
      </c>
      <c r="K348" s="4">
        <f t="shared" si="51"/>
        <v>8.6132644272179156E-4</v>
      </c>
      <c r="L348" s="4">
        <f t="shared" si="52"/>
        <v>-0.24315619967793881</v>
      </c>
      <c r="M348" s="3">
        <f t="shared" si="45"/>
        <v>2</v>
      </c>
      <c r="N348" s="3">
        <f t="shared" si="46"/>
        <v>9</v>
      </c>
      <c r="O348" s="3">
        <f t="shared" si="47"/>
        <v>2</v>
      </c>
    </row>
    <row r="349" spans="1:15" x14ac:dyDescent="0.2">
      <c r="A349" s="2">
        <v>44237</v>
      </c>
      <c r="B349" s="3">
        <v>23241</v>
      </c>
      <c r="C349" s="3">
        <v>23420</v>
      </c>
      <c r="D349" s="3">
        <v>23440</v>
      </c>
      <c r="E349" s="3">
        <v>23115</v>
      </c>
      <c r="F349" s="3">
        <v>16000</v>
      </c>
      <c r="G349" s="7">
        <f t="shared" si="53"/>
        <v>0</v>
      </c>
      <c r="H349" s="5">
        <f t="shared" si="48"/>
        <v>-2.31809401159047E-3</v>
      </c>
      <c r="I349" s="4">
        <f t="shared" si="49"/>
        <v>-2.5553662691652468E-3</v>
      </c>
      <c r="J349" s="4">
        <f t="shared" si="50"/>
        <v>-2.1285653469561515E-3</v>
      </c>
      <c r="K349" s="4">
        <f t="shared" si="51"/>
        <v>-5.3786574870912218E-3</v>
      </c>
      <c r="L349" s="4">
        <f t="shared" si="52"/>
        <v>-0.14893617021276595</v>
      </c>
      <c r="M349" s="3">
        <f t="shared" si="45"/>
        <v>2</v>
      </c>
      <c r="N349" s="3">
        <f t="shared" si="46"/>
        <v>10</v>
      </c>
      <c r="O349" s="3">
        <f t="shared" si="47"/>
        <v>3</v>
      </c>
    </row>
    <row r="350" spans="1:15" x14ac:dyDescent="0.2">
      <c r="A350" s="2">
        <v>44238</v>
      </c>
      <c r="B350" s="3">
        <v>23310</v>
      </c>
      <c r="C350" s="3">
        <v>23265</v>
      </c>
      <c r="D350" s="3">
        <v>23360</v>
      </c>
      <c r="E350" s="3">
        <v>23200</v>
      </c>
      <c r="F350" s="3">
        <v>13760</v>
      </c>
      <c r="G350" s="7">
        <f t="shared" si="53"/>
        <v>1</v>
      </c>
      <c r="H350" s="5">
        <f t="shared" si="48"/>
        <v>2.9688911836840068E-3</v>
      </c>
      <c r="I350" s="4">
        <f t="shared" si="49"/>
        <v>-6.6182749786507259E-3</v>
      </c>
      <c r="J350" s="4">
        <f t="shared" si="50"/>
        <v>-3.4129692832764505E-3</v>
      </c>
      <c r="K350" s="4">
        <f t="shared" si="51"/>
        <v>3.6772658446895955E-3</v>
      </c>
      <c r="L350" s="4">
        <f t="shared" si="52"/>
        <v>-0.14000000000000001</v>
      </c>
      <c r="M350" s="3">
        <f t="shared" si="45"/>
        <v>2</v>
      </c>
      <c r="N350" s="3">
        <f t="shared" si="46"/>
        <v>11</v>
      </c>
      <c r="O350" s="3">
        <f t="shared" si="47"/>
        <v>4</v>
      </c>
    </row>
    <row r="351" spans="1:15" x14ac:dyDescent="0.2">
      <c r="A351" s="2">
        <v>44239</v>
      </c>
      <c r="B351" s="3">
        <v>23392</v>
      </c>
      <c r="C351" s="3">
        <v>23290</v>
      </c>
      <c r="D351" s="3">
        <v>23550</v>
      </c>
      <c r="E351" s="3">
        <v>23045</v>
      </c>
      <c r="F351" s="3">
        <v>17380</v>
      </c>
      <c r="G351" s="7">
        <f t="shared" si="53"/>
        <v>1</v>
      </c>
      <c r="H351" s="5">
        <f t="shared" si="48"/>
        <v>3.5178035178035178E-3</v>
      </c>
      <c r="I351" s="4">
        <f t="shared" si="49"/>
        <v>1.074575542660649E-3</v>
      </c>
      <c r="J351" s="4">
        <f t="shared" si="50"/>
        <v>8.133561643835616E-3</v>
      </c>
      <c r="K351" s="4">
        <f t="shared" si="51"/>
        <v>-6.681034482758621E-3</v>
      </c>
      <c r="L351" s="4">
        <f t="shared" si="52"/>
        <v>0.26308139534883723</v>
      </c>
      <c r="M351" s="3">
        <f t="shared" si="45"/>
        <v>2</v>
      </c>
      <c r="N351" s="3">
        <f t="shared" si="46"/>
        <v>12</v>
      </c>
      <c r="O351" s="3">
        <f t="shared" si="47"/>
        <v>5</v>
      </c>
    </row>
    <row r="352" spans="1:15" x14ac:dyDescent="0.2">
      <c r="A352" s="2">
        <v>44242</v>
      </c>
      <c r="B352" s="3">
        <v>23594</v>
      </c>
      <c r="C352" s="3">
        <v>23635</v>
      </c>
      <c r="D352" s="3">
        <v>23645</v>
      </c>
      <c r="E352" s="3">
        <v>23550</v>
      </c>
      <c r="F352" s="3">
        <v>14010</v>
      </c>
      <c r="G352" s="7">
        <f t="shared" si="53"/>
        <v>1</v>
      </c>
      <c r="H352" s="5">
        <f t="shared" si="48"/>
        <v>8.6354309165526683E-3</v>
      </c>
      <c r="I352" s="4">
        <f t="shared" si="49"/>
        <v>1.4813224559896952E-2</v>
      </c>
      <c r="J352" s="4">
        <f t="shared" si="50"/>
        <v>4.0339702760084925E-3</v>
      </c>
      <c r="K352" s="4">
        <f t="shared" si="51"/>
        <v>2.1913647211976566E-2</v>
      </c>
      <c r="L352" s="4">
        <f t="shared" si="52"/>
        <v>-0.19390103567318756</v>
      </c>
      <c r="M352" s="3">
        <f t="shared" si="45"/>
        <v>2</v>
      </c>
      <c r="N352" s="3">
        <f t="shared" si="46"/>
        <v>15</v>
      </c>
      <c r="O352" s="3">
        <f t="shared" si="47"/>
        <v>1</v>
      </c>
    </row>
    <row r="353" spans="1:15" x14ac:dyDescent="0.2">
      <c r="A353" s="2">
        <v>44243</v>
      </c>
      <c r="B353" s="3">
        <v>23423</v>
      </c>
      <c r="C353" s="3">
        <v>23630</v>
      </c>
      <c r="D353" s="3">
        <v>23640</v>
      </c>
      <c r="E353" s="3">
        <v>23345</v>
      </c>
      <c r="F353" s="3">
        <v>14140</v>
      </c>
      <c r="G353" s="7">
        <f t="shared" si="53"/>
        <v>0</v>
      </c>
      <c r="H353" s="5">
        <f t="shared" si="48"/>
        <v>-7.247605323387302E-3</v>
      </c>
      <c r="I353" s="4">
        <f t="shared" si="49"/>
        <v>-2.1155066638459911E-4</v>
      </c>
      <c r="J353" s="4">
        <f t="shared" si="50"/>
        <v>-2.1146119687037428E-4</v>
      </c>
      <c r="K353" s="4">
        <f t="shared" si="51"/>
        <v>-8.7048832271762206E-3</v>
      </c>
      <c r="L353" s="4">
        <f t="shared" si="52"/>
        <v>9.2790863668807989E-3</v>
      </c>
      <c r="M353" s="3">
        <f t="shared" si="45"/>
        <v>2</v>
      </c>
      <c r="N353" s="3">
        <f t="shared" si="46"/>
        <v>16</v>
      </c>
      <c r="O353" s="3">
        <f t="shared" si="47"/>
        <v>2</v>
      </c>
    </row>
    <row r="354" spans="1:15" x14ac:dyDescent="0.2">
      <c r="A354" s="2">
        <v>44244</v>
      </c>
      <c r="B354" s="3">
        <v>23151</v>
      </c>
      <c r="C354" s="3">
        <v>23385</v>
      </c>
      <c r="D354" s="3">
        <v>23440</v>
      </c>
      <c r="E354" s="3">
        <v>23100</v>
      </c>
      <c r="F354" s="3">
        <v>22080</v>
      </c>
      <c r="G354" s="7">
        <f t="shared" si="53"/>
        <v>0</v>
      </c>
      <c r="H354" s="5">
        <f t="shared" si="48"/>
        <v>-1.1612517610895275E-2</v>
      </c>
      <c r="I354" s="4">
        <f t="shared" si="49"/>
        <v>-1.0368176047397376E-2</v>
      </c>
      <c r="J354" s="4">
        <f t="shared" si="50"/>
        <v>-8.4602368866328256E-3</v>
      </c>
      <c r="K354" s="4">
        <f t="shared" si="51"/>
        <v>-1.0494752623688156E-2</v>
      </c>
      <c r="L354" s="4">
        <f t="shared" si="52"/>
        <v>0.56152758132956149</v>
      </c>
      <c r="M354" s="3">
        <f t="shared" si="45"/>
        <v>2</v>
      </c>
      <c r="N354" s="3">
        <f t="shared" si="46"/>
        <v>17</v>
      </c>
      <c r="O354" s="3">
        <f t="shared" si="47"/>
        <v>3</v>
      </c>
    </row>
    <row r="355" spans="1:15" x14ac:dyDescent="0.2">
      <c r="A355" s="2">
        <v>44245</v>
      </c>
      <c r="B355" s="3">
        <v>22928</v>
      </c>
      <c r="C355" s="3">
        <v>23145</v>
      </c>
      <c r="D355" s="3">
        <v>23260</v>
      </c>
      <c r="E355" s="3">
        <v>22865</v>
      </c>
      <c r="F355" s="3">
        <v>19750</v>
      </c>
      <c r="G355" s="7">
        <f t="shared" si="53"/>
        <v>0</v>
      </c>
      <c r="H355" s="5">
        <f t="shared" si="48"/>
        <v>-9.6324132866830812E-3</v>
      </c>
      <c r="I355" s="4">
        <f t="shared" si="49"/>
        <v>-1.0262989095574085E-2</v>
      </c>
      <c r="J355" s="4">
        <f t="shared" si="50"/>
        <v>-7.6791808873720134E-3</v>
      </c>
      <c r="K355" s="4">
        <f t="shared" si="51"/>
        <v>-1.0173160173160173E-2</v>
      </c>
      <c r="L355" s="4">
        <f t="shared" si="52"/>
        <v>-0.10552536231884058</v>
      </c>
      <c r="M355" s="3">
        <f t="shared" si="45"/>
        <v>2</v>
      </c>
      <c r="N355" s="3">
        <f t="shared" si="46"/>
        <v>18</v>
      </c>
      <c r="O355" s="3">
        <f t="shared" si="47"/>
        <v>4</v>
      </c>
    </row>
    <row r="356" spans="1:15" x14ac:dyDescent="0.2">
      <c r="A356" s="2">
        <v>44246</v>
      </c>
      <c r="B356" s="3">
        <v>23145</v>
      </c>
      <c r="C356" s="3">
        <v>23030</v>
      </c>
      <c r="D356" s="3">
        <v>23180</v>
      </c>
      <c r="E356" s="3">
        <v>22830</v>
      </c>
      <c r="F356" s="3">
        <v>19710</v>
      </c>
      <c r="G356" s="7">
        <f t="shared" si="53"/>
        <v>1</v>
      </c>
      <c r="H356" s="5">
        <f t="shared" si="48"/>
        <v>9.4644103279832512E-3</v>
      </c>
      <c r="I356" s="4">
        <f t="shared" si="49"/>
        <v>-4.9686757399006265E-3</v>
      </c>
      <c r="J356" s="4">
        <f t="shared" si="50"/>
        <v>-3.4393809114359416E-3</v>
      </c>
      <c r="K356" s="4">
        <f t="shared" si="51"/>
        <v>-1.5307238136890444E-3</v>
      </c>
      <c r="L356" s="4">
        <f t="shared" si="52"/>
        <v>-2.0253164556962027E-3</v>
      </c>
      <c r="M356" s="3">
        <f t="shared" si="45"/>
        <v>2</v>
      </c>
      <c r="N356" s="3">
        <f t="shared" si="46"/>
        <v>19</v>
      </c>
      <c r="O356" s="3">
        <f t="shared" si="47"/>
        <v>5</v>
      </c>
    </row>
    <row r="357" spans="1:15" x14ac:dyDescent="0.2">
      <c r="A357" s="2">
        <v>44249</v>
      </c>
      <c r="B357" s="3">
        <v>23005</v>
      </c>
      <c r="C357" s="3">
        <v>23055</v>
      </c>
      <c r="D357" s="3">
        <v>23075</v>
      </c>
      <c r="E357" s="3">
        <v>22825</v>
      </c>
      <c r="F357" s="3">
        <v>16830</v>
      </c>
      <c r="G357" s="7">
        <f t="shared" si="53"/>
        <v>0</v>
      </c>
      <c r="H357" s="5">
        <f t="shared" si="48"/>
        <v>-6.0488226398790236E-3</v>
      </c>
      <c r="I357" s="4">
        <f t="shared" si="49"/>
        <v>1.0855405992184109E-3</v>
      </c>
      <c r="J357" s="4">
        <f t="shared" si="50"/>
        <v>-4.5297670405522001E-3</v>
      </c>
      <c r="K357" s="4">
        <f t="shared" si="51"/>
        <v>-2.1901007446342531E-4</v>
      </c>
      <c r="L357" s="4">
        <f t="shared" si="52"/>
        <v>-0.14611872146118721</v>
      </c>
      <c r="M357" s="3">
        <f t="shared" si="45"/>
        <v>2</v>
      </c>
      <c r="N357" s="3">
        <f t="shared" si="46"/>
        <v>22</v>
      </c>
      <c r="O357" s="3">
        <f t="shared" si="47"/>
        <v>1</v>
      </c>
    </row>
    <row r="358" spans="1:15" x14ac:dyDescent="0.2">
      <c r="A358" s="2">
        <v>44250</v>
      </c>
      <c r="B358" s="3">
        <v>22901</v>
      </c>
      <c r="C358" s="3">
        <v>23030</v>
      </c>
      <c r="D358" s="3">
        <v>23160</v>
      </c>
      <c r="E358" s="3">
        <v>22610</v>
      </c>
      <c r="F358" s="3">
        <v>26030</v>
      </c>
      <c r="G358" s="7">
        <f t="shared" si="53"/>
        <v>0</v>
      </c>
      <c r="H358" s="5">
        <f t="shared" si="48"/>
        <v>-4.5207563573136274E-3</v>
      </c>
      <c r="I358" s="4">
        <f t="shared" si="49"/>
        <v>-1.0843634786380394E-3</v>
      </c>
      <c r="J358" s="4">
        <f t="shared" si="50"/>
        <v>3.6836403033586131E-3</v>
      </c>
      <c r="K358" s="4">
        <f t="shared" si="51"/>
        <v>-9.4194961664841176E-3</v>
      </c>
      <c r="L358" s="4">
        <f t="shared" si="52"/>
        <v>0.54664289958407608</v>
      </c>
      <c r="M358" s="3">
        <f t="shared" si="45"/>
        <v>2</v>
      </c>
      <c r="N358" s="3">
        <f t="shared" si="46"/>
        <v>23</v>
      </c>
      <c r="O358" s="3">
        <f t="shared" si="47"/>
        <v>2</v>
      </c>
    </row>
    <row r="359" spans="1:15" x14ac:dyDescent="0.2">
      <c r="A359" s="2">
        <v>44251</v>
      </c>
      <c r="B359" s="3">
        <v>23100</v>
      </c>
      <c r="C359" s="3">
        <v>22865</v>
      </c>
      <c r="D359" s="3">
        <v>23225</v>
      </c>
      <c r="E359" s="3">
        <v>22800</v>
      </c>
      <c r="F359" s="3">
        <v>19300</v>
      </c>
      <c r="G359" s="7">
        <f t="shared" si="53"/>
        <v>1</v>
      </c>
      <c r="H359" s="5">
        <f t="shared" si="48"/>
        <v>8.6895768743722977E-3</v>
      </c>
      <c r="I359" s="4">
        <f t="shared" si="49"/>
        <v>-7.1645679548415107E-3</v>
      </c>
      <c r="J359" s="4">
        <f t="shared" si="50"/>
        <v>2.8065630397236616E-3</v>
      </c>
      <c r="K359" s="4">
        <f t="shared" si="51"/>
        <v>8.4033613445378148E-3</v>
      </c>
      <c r="L359" s="4">
        <f t="shared" si="52"/>
        <v>-0.25854782942758353</v>
      </c>
      <c r="M359" s="3">
        <f t="shared" si="45"/>
        <v>2</v>
      </c>
      <c r="N359" s="3">
        <f t="shared" si="46"/>
        <v>24</v>
      </c>
      <c r="O359" s="3">
        <f t="shared" si="47"/>
        <v>3</v>
      </c>
    </row>
    <row r="360" spans="1:15" x14ac:dyDescent="0.2">
      <c r="A360" s="2">
        <v>44252</v>
      </c>
      <c r="B360" s="3">
        <v>23064</v>
      </c>
      <c r="C360" s="3">
        <v>23245</v>
      </c>
      <c r="D360" s="3">
        <v>23305</v>
      </c>
      <c r="E360" s="3">
        <v>22740</v>
      </c>
      <c r="F360" s="3">
        <v>23500</v>
      </c>
      <c r="G360" s="7">
        <f t="shared" si="53"/>
        <v>0</v>
      </c>
      <c r="H360" s="5">
        <f t="shared" si="48"/>
        <v>-1.5584415584415584E-3</v>
      </c>
      <c r="I360" s="4">
        <f t="shared" si="49"/>
        <v>1.6619287120052482E-2</v>
      </c>
      <c r="J360" s="4">
        <f t="shared" si="50"/>
        <v>3.4445640473627559E-3</v>
      </c>
      <c r="K360" s="4">
        <f t="shared" si="51"/>
        <v>-2.631578947368421E-3</v>
      </c>
      <c r="L360" s="4">
        <f t="shared" si="52"/>
        <v>0.21761658031088082</v>
      </c>
      <c r="M360" s="3">
        <f t="shared" si="45"/>
        <v>2</v>
      </c>
      <c r="N360" s="3">
        <f t="shared" si="46"/>
        <v>25</v>
      </c>
      <c r="O360" s="3">
        <f t="shared" si="47"/>
        <v>4</v>
      </c>
    </row>
    <row r="361" spans="1:15" x14ac:dyDescent="0.2">
      <c r="A361" s="2">
        <v>44253</v>
      </c>
      <c r="B361" s="3">
        <v>22829</v>
      </c>
      <c r="C361" s="3">
        <v>22715</v>
      </c>
      <c r="D361" s="3">
        <v>23015</v>
      </c>
      <c r="E361" s="3">
        <v>22605</v>
      </c>
      <c r="F361" s="3">
        <v>27510</v>
      </c>
      <c r="G361" s="7">
        <f t="shared" si="53"/>
        <v>0</v>
      </c>
      <c r="H361" s="5">
        <f t="shared" si="48"/>
        <v>-1.0189039195282691E-2</v>
      </c>
      <c r="I361" s="4">
        <f t="shared" si="49"/>
        <v>-2.2800602280060228E-2</v>
      </c>
      <c r="J361" s="4">
        <f t="shared" si="50"/>
        <v>-1.2443681613387684E-2</v>
      </c>
      <c r="K361" s="4">
        <f t="shared" si="51"/>
        <v>-5.9366754617414244E-3</v>
      </c>
      <c r="L361" s="4">
        <f t="shared" si="52"/>
        <v>0.17063829787234042</v>
      </c>
      <c r="M361" s="3">
        <f t="shared" si="45"/>
        <v>2</v>
      </c>
      <c r="N361" s="3">
        <f t="shared" si="46"/>
        <v>26</v>
      </c>
      <c r="O361" s="3">
        <f t="shared" si="47"/>
        <v>5</v>
      </c>
    </row>
    <row r="362" spans="1:15" x14ac:dyDescent="0.2">
      <c r="A362" s="2">
        <v>44256</v>
      </c>
      <c r="B362" s="3">
        <v>23238</v>
      </c>
      <c r="C362" s="3">
        <v>23010</v>
      </c>
      <c r="D362" s="3">
        <v>23305</v>
      </c>
      <c r="E362" s="3">
        <v>23005</v>
      </c>
      <c r="F362" s="3">
        <v>20970</v>
      </c>
      <c r="G362" s="7">
        <f t="shared" si="53"/>
        <v>1</v>
      </c>
      <c r="H362" s="5">
        <f t="shared" si="48"/>
        <v>1.7915808839633798E-2</v>
      </c>
      <c r="I362" s="4">
        <f t="shared" si="49"/>
        <v>1.2987012987012988E-2</v>
      </c>
      <c r="J362" s="4">
        <f t="shared" si="50"/>
        <v>1.2600477949163589E-2</v>
      </c>
      <c r="K362" s="4">
        <f t="shared" si="51"/>
        <v>1.7695200176952003E-2</v>
      </c>
      <c r="L362" s="4">
        <f t="shared" si="52"/>
        <v>-0.23773173391494001</v>
      </c>
      <c r="M362" s="3">
        <f t="shared" si="45"/>
        <v>3</v>
      </c>
      <c r="N362" s="3">
        <f t="shared" si="46"/>
        <v>1</v>
      </c>
      <c r="O362" s="3">
        <f t="shared" si="47"/>
        <v>1</v>
      </c>
    </row>
    <row r="363" spans="1:15" x14ac:dyDescent="0.2">
      <c r="A363" s="2">
        <v>44257</v>
      </c>
      <c r="B363" s="3">
        <v>23081</v>
      </c>
      <c r="C363" s="3">
        <v>23185</v>
      </c>
      <c r="D363" s="3">
        <v>23320</v>
      </c>
      <c r="E363" s="3">
        <v>23065</v>
      </c>
      <c r="F363" s="3">
        <v>18460</v>
      </c>
      <c r="G363" s="7">
        <f t="shared" si="53"/>
        <v>0</v>
      </c>
      <c r="H363" s="5">
        <f t="shared" si="48"/>
        <v>-6.7561752302263533E-3</v>
      </c>
      <c r="I363" s="4">
        <f t="shared" si="49"/>
        <v>7.6053889613211644E-3</v>
      </c>
      <c r="J363" s="4">
        <f t="shared" si="50"/>
        <v>6.4363870414074233E-4</v>
      </c>
      <c r="K363" s="4">
        <f t="shared" si="51"/>
        <v>2.6081286676809391E-3</v>
      </c>
      <c r="L363" s="4">
        <f t="shared" si="52"/>
        <v>-0.11969480209823558</v>
      </c>
      <c r="M363" s="3">
        <f t="shared" si="45"/>
        <v>3</v>
      </c>
      <c r="N363" s="3">
        <f t="shared" si="46"/>
        <v>2</v>
      </c>
      <c r="O363" s="3">
        <f t="shared" si="47"/>
        <v>2</v>
      </c>
    </row>
    <row r="364" spans="1:15" x14ac:dyDescent="0.2">
      <c r="A364" s="2">
        <v>44258</v>
      </c>
      <c r="B364" s="3">
        <v>23043</v>
      </c>
      <c r="C364" s="3">
        <v>23220</v>
      </c>
      <c r="D364" s="3">
        <v>23350</v>
      </c>
      <c r="E364" s="3">
        <v>22810</v>
      </c>
      <c r="F364" s="3">
        <v>22220</v>
      </c>
      <c r="G364" s="7">
        <f t="shared" si="53"/>
        <v>0</v>
      </c>
      <c r="H364" s="5">
        <f t="shared" si="48"/>
        <v>-1.6463758069407738E-3</v>
      </c>
      <c r="I364" s="4">
        <f t="shared" si="49"/>
        <v>1.5095967220185465E-3</v>
      </c>
      <c r="J364" s="4">
        <f t="shared" si="50"/>
        <v>1.2864493996569469E-3</v>
      </c>
      <c r="K364" s="4">
        <f t="shared" si="51"/>
        <v>-1.1055712117927595E-2</v>
      </c>
      <c r="L364" s="4">
        <f t="shared" si="52"/>
        <v>0.20368364030335862</v>
      </c>
      <c r="M364" s="3">
        <f t="shared" si="45"/>
        <v>3</v>
      </c>
      <c r="N364" s="3">
        <f t="shared" si="46"/>
        <v>3</v>
      </c>
      <c r="O364" s="3">
        <f t="shared" si="47"/>
        <v>3</v>
      </c>
    </row>
    <row r="365" spans="1:15" x14ac:dyDescent="0.2">
      <c r="A365" s="2">
        <v>44259</v>
      </c>
      <c r="B365" s="3">
        <v>23097</v>
      </c>
      <c r="C365" s="3">
        <v>22855</v>
      </c>
      <c r="D365" s="3">
        <v>23185</v>
      </c>
      <c r="E365" s="3">
        <v>22740</v>
      </c>
      <c r="F365" s="3">
        <v>22540</v>
      </c>
      <c r="G365" s="7">
        <f t="shared" si="53"/>
        <v>1</v>
      </c>
      <c r="H365" s="5">
        <f t="shared" si="48"/>
        <v>2.3434448639500067E-3</v>
      </c>
      <c r="I365" s="4">
        <f t="shared" si="49"/>
        <v>-1.5719207579672698E-2</v>
      </c>
      <c r="J365" s="4">
        <f t="shared" si="50"/>
        <v>-7.0663811563169161E-3</v>
      </c>
      <c r="K365" s="4">
        <f t="shared" si="51"/>
        <v>-3.0688294607628232E-3</v>
      </c>
      <c r="L365" s="4">
        <f t="shared" si="52"/>
        <v>1.4401440144014401E-2</v>
      </c>
      <c r="M365" s="3">
        <f t="shared" si="45"/>
        <v>3</v>
      </c>
      <c r="N365" s="3">
        <f t="shared" si="46"/>
        <v>4</v>
      </c>
      <c r="O365" s="3">
        <f t="shared" si="47"/>
        <v>4</v>
      </c>
    </row>
    <row r="366" spans="1:15" x14ac:dyDescent="0.2">
      <c r="A366" s="2">
        <v>44260</v>
      </c>
      <c r="B366" s="3">
        <v>22955</v>
      </c>
      <c r="C366" s="3">
        <v>22910</v>
      </c>
      <c r="D366" s="3">
        <v>23285</v>
      </c>
      <c r="E366" s="3">
        <v>22860</v>
      </c>
      <c r="F366" s="3">
        <v>24710</v>
      </c>
      <c r="G366" s="7">
        <f t="shared" si="53"/>
        <v>0</v>
      </c>
      <c r="H366" s="5">
        <f t="shared" si="48"/>
        <v>-6.1479845867428674E-3</v>
      </c>
      <c r="I366" s="4">
        <f t="shared" si="49"/>
        <v>2.4064756070881644E-3</v>
      </c>
      <c r="J366" s="4">
        <f t="shared" si="50"/>
        <v>4.3131334914815614E-3</v>
      </c>
      <c r="K366" s="4">
        <f t="shared" si="51"/>
        <v>5.2770448548812663E-3</v>
      </c>
      <c r="L366" s="4">
        <f t="shared" si="52"/>
        <v>9.627329192546584E-2</v>
      </c>
      <c r="M366" s="3">
        <f t="shared" si="45"/>
        <v>3</v>
      </c>
      <c r="N366" s="3">
        <f t="shared" si="46"/>
        <v>5</v>
      </c>
      <c r="O366" s="3">
        <f t="shared" si="47"/>
        <v>5</v>
      </c>
    </row>
    <row r="367" spans="1:15" x14ac:dyDescent="0.2">
      <c r="A367" s="2">
        <v>44263</v>
      </c>
      <c r="B367" s="3">
        <v>23691</v>
      </c>
      <c r="C367" s="3">
        <v>23135</v>
      </c>
      <c r="D367" s="3">
        <v>23795</v>
      </c>
      <c r="E367" s="3">
        <v>23060</v>
      </c>
      <c r="F367" s="3">
        <v>38430</v>
      </c>
      <c r="G367" s="7">
        <f t="shared" si="53"/>
        <v>1</v>
      </c>
      <c r="H367" s="5">
        <f t="shared" si="48"/>
        <v>3.2062731431060774E-2</v>
      </c>
      <c r="I367" s="4">
        <f t="shared" si="49"/>
        <v>9.8210388476647759E-3</v>
      </c>
      <c r="J367" s="4">
        <f t="shared" si="50"/>
        <v>2.1902512347004511E-2</v>
      </c>
      <c r="K367" s="4">
        <f t="shared" si="51"/>
        <v>8.7489063867016627E-3</v>
      </c>
      <c r="L367" s="4">
        <f t="shared" si="52"/>
        <v>0.55524079320113318</v>
      </c>
      <c r="M367" s="3">
        <f t="shared" si="45"/>
        <v>3</v>
      </c>
      <c r="N367" s="3">
        <f t="shared" si="46"/>
        <v>8</v>
      </c>
      <c r="O367" s="3">
        <f t="shared" si="47"/>
        <v>1</v>
      </c>
    </row>
    <row r="368" spans="1:15" x14ac:dyDescent="0.2">
      <c r="A368" s="2">
        <v>44264</v>
      </c>
      <c r="B368" s="3">
        <v>23840</v>
      </c>
      <c r="C368" s="3">
        <v>23665</v>
      </c>
      <c r="D368" s="3">
        <v>23875</v>
      </c>
      <c r="E368" s="3">
        <v>23630</v>
      </c>
      <c r="F368" s="3">
        <v>18200</v>
      </c>
      <c r="G368" s="7">
        <f t="shared" si="53"/>
        <v>1</v>
      </c>
      <c r="H368" s="5">
        <f t="shared" si="48"/>
        <v>6.2893081761006293E-3</v>
      </c>
      <c r="I368" s="4">
        <f t="shared" si="49"/>
        <v>2.2909012318997189E-2</v>
      </c>
      <c r="J368" s="4">
        <f t="shared" si="50"/>
        <v>3.3620508510191216E-3</v>
      </c>
      <c r="K368" s="4">
        <f t="shared" si="51"/>
        <v>2.4718126626192542E-2</v>
      </c>
      <c r="L368" s="4">
        <f t="shared" si="52"/>
        <v>-0.5264116575591985</v>
      </c>
      <c r="M368" s="3">
        <f t="shared" si="45"/>
        <v>3</v>
      </c>
      <c r="N368" s="3">
        <f t="shared" si="46"/>
        <v>9</v>
      </c>
      <c r="O368" s="3">
        <f t="shared" si="47"/>
        <v>2</v>
      </c>
    </row>
    <row r="369" spans="1:15" x14ac:dyDescent="0.2">
      <c r="A369" s="2">
        <v>44265</v>
      </c>
      <c r="B369" s="3">
        <v>23918</v>
      </c>
      <c r="C369" s="3">
        <v>23750</v>
      </c>
      <c r="D369" s="3">
        <v>24045</v>
      </c>
      <c r="E369" s="3">
        <v>23730</v>
      </c>
      <c r="F369" s="3">
        <v>19640</v>
      </c>
      <c r="G369" s="7">
        <f t="shared" si="53"/>
        <v>1</v>
      </c>
      <c r="H369" s="5">
        <f t="shared" si="48"/>
        <v>3.2718120805369129E-3</v>
      </c>
      <c r="I369" s="4">
        <f t="shared" si="49"/>
        <v>3.5918022395943377E-3</v>
      </c>
      <c r="J369" s="4">
        <f t="shared" si="50"/>
        <v>7.1204188481675396E-3</v>
      </c>
      <c r="K369" s="4">
        <f t="shared" si="51"/>
        <v>4.2319085907744393E-3</v>
      </c>
      <c r="L369" s="4">
        <f t="shared" si="52"/>
        <v>7.9120879120879117E-2</v>
      </c>
      <c r="M369" s="3">
        <f t="shared" si="45"/>
        <v>3</v>
      </c>
      <c r="N369" s="3">
        <f t="shared" si="46"/>
        <v>10</v>
      </c>
      <c r="O369" s="3">
        <f t="shared" si="47"/>
        <v>3</v>
      </c>
    </row>
    <row r="370" spans="1:15" x14ac:dyDescent="0.2">
      <c r="A370" s="2">
        <v>44266</v>
      </c>
      <c r="B370" s="3">
        <v>24145</v>
      </c>
      <c r="C370" s="3">
        <v>24055</v>
      </c>
      <c r="D370" s="3">
        <v>24225</v>
      </c>
      <c r="E370" s="3">
        <v>24005</v>
      </c>
      <c r="F370" s="3">
        <v>21210</v>
      </c>
      <c r="G370" s="7">
        <f t="shared" si="53"/>
        <v>1</v>
      </c>
      <c r="H370" s="5">
        <f t="shared" si="48"/>
        <v>9.4907600969980771E-3</v>
      </c>
      <c r="I370" s="4">
        <f t="shared" si="49"/>
        <v>1.2842105263157894E-2</v>
      </c>
      <c r="J370" s="4">
        <f t="shared" si="50"/>
        <v>7.4859638178415471E-3</v>
      </c>
      <c r="K370" s="4">
        <f t="shared" si="51"/>
        <v>1.1588706278971767E-2</v>
      </c>
      <c r="L370" s="4">
        <f t="shared" si="52"/>
        <v>7.9938900203665994E-2</v>
      </c>
      <c r="M370" s="3">
        <f t="shared" si="45"/>
        <v>3</v>
      </c>
      <c r="N370" s="3">
        <f t="shared" si="46"/>
        <v>11</v>
      </c>
      <c r="O370" s="3">
        <f t="shared" si="47"/>
        <v>4</v>
      </c>
    </row>
    <row r="371" spans="1:15" x14ac:dyDescent="0.2">
      <c r="A371" s="2">
        <v>44267</v>
      </c>
      <c r="B371" s="3">
        <v>24111</v>
      </c>
      <c r="C371" s="3">
        <v>24140</v>
      </c>
      <c r="D371" s="3">
        <v>24235</v>
      </c>
      <c r="E371" s="3">
        <v>24020</v>
      </c>
      <c r="F371" s="3">
        <v>23240</v>
      </c>
      <c r="G371" s="7">
        <f t="shared" si="53"/>
        <v>0</v>
      </c>
      <c r="H371" s="5">
        <f t="shared" si="48"/>
        <v>-1.4081590391385381E-3</v>
      </c>
      <c r="I371" s="4">
        <f t="shared" si="49"/>
        <v>3.5335689045936395E-3</v>
      </c>
      <c r="J371" s="4">
        <f t="shared" si="50"/>
        <v>4.1279669762641898E-4</v>
      </c>
      <c r="K371" s="4">
        <f t="shared" si="51"/>
        <v>6.2486981878775256E-4</v>
      </c>
      <c r="L371" s="4">
        <f t="shared" si="52"/>
        <v>9.5709570957095716E-2</v>
      </c>
      <c r="M371" s="3">
        <f t="shared" si="45"/>
        <v>3</v>
      </c>
      <c r="N371" s="3">
        <f t="shared" si="46"/>
        <v>12</v>
      </c>
      <c r="O371" s="3">
        <f t="shared" si="47"/>
        <v>5</v>
      </c>
    </row>
    <row r="372" spans="1:15" x14ac:dyDescent="0.2">
      <c r="A372" s="2">
        <v>44270</v>
      </c>
      <c r="B372" s="3">
        <v>24139</v>
      </c>
      <c r="C372" s="3">
        <v>24190</v>
      </c>
      <c r="D372" s="3">
        <v>24435</v>
      </c>
      <c r="E372" s="3">
        <v>24055</v>
      </c>
      <c r="F372" s="3">
        <v>50180</v>
      </c>
      <c r="G372" s="7">
        <f t="shared" si="53"/>
        <v>1</v>
      </c>
      <c r="H372" s="5">
        <f t="shared" si="48"/>
        <v>1.1612956741736138E-3</v>
      </c>
      <c r="I372" s="4">
        <f t="shared" si="49"/>
        <v>2.0712510356255178E-3</v>
      </c>
      <c r="J372" s="4">
        <f t="shared" si="50"/>
        <v>8.2525273364968017E-3</v>
      </c>
      <c r="K372" s="4">
        <f t="shared" si="51"/>
        <v>1.4571190674437969E-3</v>
      </c>
      <c r="L372" s="4">
        <f t="shared" si="52"/>
        <v>1.1592082616179002</v>
      </c>
      <c r="M372" s="3">
        <f t="shared" si="45"/>
        <v>3</v>
      </c>
      <c r="N372" s="3">
        <f t="shared" si="46"/>
        <v>15</v>
      </c>
      <c r="O372" s="3">
        <f t="shared" si="47"/>
        <v>1</v>
      </c>
    </row>
    <row r="373" spans="1:15" x14ac:dyDescent="0.2">
      <c r="A373" s="2">
        <v>44271</v>
      </c>
      <c r="B373" s="3">
        <v>24262</v>
      </c>
      <c r="C373" s="3">
        <v>24245</v>
      </c>
      <c r="D373" s="3">
        <v>24320</v>
      </c>
      <c r="E373" s="3">
        <v>24185</v>
      </c>
      <c r="F373" s="3">
        <v>36470</v>
      </c>
      <c r="G373" s="7">
        <f t="shared" si="53"/>
        <v>1</v>
      </c>
      <c r="H373" s="5">
        <f t="shared" si="48"/>
        <v>5.0954886283607441E-3</v>
      </c>
      <c r="I373" s="4">
        <f t="shared" si="49"/>
        <v>2.2736668044646548E-3</v>
      </c>
      <c r="J373" s="4">
        <f t="shared" si="50"/>
        <v>-4.7063638223859222E-3</v>
      </c>
      <c r="K373" s="4">
        <f t="shared" si="51"/>
        <v>5.4042818540843895E-3</v>
      </c>
      <c r="L373" s="4">
        <f t="shared" si="52"/>
        <v>-0.27321642088481468</v>
      </c>
      <c r="M373" s="3">
        <f t="shared" si="45"/>
        <v>3</v>
      </c>
      <c r="N373" s="3">
        <f t="shared" si="46"/>
        <v>16</v>
      </c>
      <c r="O373" s="3">
        <f t="shared" si="47"/>
        <v>2</v>
      </c>
    </row>
    <row r="374" spans="1:15" x14ac:dyDescent="0.2">
      <c r="A374" s="2">
        <v>44272</v>
      </c>
      <c r="B374" s="3">
        <v>24293</v>
      </c>
      <c r="C374" s="3">
        <v>24245</v>
      </c>
      <c r="D374" s="3">
        <v>24400</v>
      </c>
      <c r="E374" s="3">
        <v>24200</v>
      </c>
      <c r="F374" s="3">
        <v>32540</v>
      </c>
      <c r="G374" s="7">
        <f t="shared" si="53"/>
        <v>1</v>
      </c>
      <c r="H374" s="5">
        <f t="shared" si="48"/>
        <v>1.2777182425191657E-3</v>
      </c>
      <c r="I374" s="4">
        <f t="shared" si="49"/>
        <v>0</v>
      </c>
      <c r="J374" s="4">
        <f t="shared" si="50"/>
        <v>3.2894736842105261E-3</v>
      </c>
      <c r="K374" s="4">
        <f t="shared" si="51"/>
        <v>6.2021914409758118E-4</v>
      </c>
      <c r="L374" s="4">
        <f t="shared" si="52"/>
        <v>-0.10775980257746093</v>
      </c>
      <c r="M374" s="3">
        <f t="shared" si="45"/>
        <v>3</v>
      </c>
      <c r="N374" s="3">
        <f t="shared" si="46"/>
        <v>17</v>
      </c>
      <c r="O374" s="3">
        <f t="shared" si="47"/>
        <v>3</v>
      </c>
    </row>
    <row r="375" spans="1:15" x14ac:dyDescent="0.2">
      <c r="A375" s="2">
        <v>44273</v>
      </c>
      <c r="B375" s="3">
        <v>24369</v>
      </c>
      <c r="C375" s="3">
        <v>24475</v>
      </c>
      <c r="D375" s="3">
        <v>24475</v>
      </c>
      <c r="E375" s="3">
        <v>24185</v>
      </c>
      <c r="F375" s="3">
        <v>31660</v>
      </c>
      <c r="G375" s="7">
        <f t="shared" si="53"/>
        <v>1</v>
      </c>
      <c r="H375" s="5">
        <f t="shared" si="48"/>
        <v>3.1284732227390608E-3</v>
      </c>
      <c r="I375" s="4">
        <f t="shared" si="49"/>
        <v>9.4864920602186018E-3</v>
      </c>
      <c r="J375" s="4">
        <f t="shared" si="50"/>
        <v>3.0737704918032786E-3</v>
      </c>
      <c r="K375" s="4">
        <f t="shared" si="51"/>
        <v>-6.1983471074380169E-4</v>
      </c>
      <c r="L375" s="4">
        <f t="shared" si="52"/>
        <v>-2.7043638598647817E-2</v>
      </c>
      <c r="M375" s="3">
        <f t="shared" si="45"/>
        <v>3</v>
      </c>
      <c r="N375" s="3">
        <f t="shared" si="46"/>
        <v>18</v>
      </c>
      <c r="O375" s="3">
        <f t="shared" si="47"/>
        <v>4</v>
      </c>
    </row>
    <row r="376" spans="1:15" x14ac:dyDescent="0.2">
      <c r="A376" s="2">
        <v>44274</v>
      </c>
      <c r="B376" s="3">
        <v>23952</v>
      </c>
      <c r="C376" s="3">
        <v>24255</v>
      </c>
      <c r="D376" s="3">
        <v>24280</v>
      </c>
      <c r="E376" s="3">
        <v>23920</v>
      </c>
      <c r="F376" s="3">
        <v>80</v>
      </c>
      <c r="G376" s="7">
        <f t="shared" si="53"/>
        <v>0</v>
      </c>
      <c r="H376" s="5">
        <f t="shared" si="48"/>
        <v>-1.7111904468792318E-2</v>
      </c>
      <c r="I376" s="4">
        <f t="shared" si="49"/>
        <v>-8.988764044943821E-3</v>
      </c>
      <c r="J376" s="4">
        <f t="shared" si="50"/>
        <v>-7.9673135852911126E-3</v>
      </c>
      <c r="K376" s="4">
        <f t="shared" si="51"/>
        <v>-1.0957204879057266E-2</v>
      </c>
      <c r="L376" s="4">
        <f t="shared" si="52"/>
        <v>-0.99747315224257738</v>
      </c>
      <c r="M376" s="3">
        <f t="shared" si="45"/>
        <v>3</v>
      </c>
      <c r="N376" s="3">
        <f t="shared" si="46"/>
        <v>19</v>
      </c>
      <c r="O376" s="3">
        <f t="shared" si="47"/>
        <v>5</v>
      </c>
    </row>
    <row r="377" spans="1:15" x14ac:dyDescent="0.2">
      <c r="A377" s="2">
        <v>44277</v>
      </c>
      <c r="B377" s="3">
        <v>24000</v>
      </c>
      <c r="C377" s="3">
        <v>23885</v>
      </c>
      <c r="D377" s="3">
        <v>24015</v>
      </c>
      <c r="E377" s="3">
        <v>23765</v>
      </c>
      <c r="F377" s="3">
        <v>12460</v>
      </c>
      <c r="G377" s="7">
        <f t="shared" si="53"/>
        <v>1</v>
      </c>
      <c r="H377" s="5">
        <f t="shared" si="48"/>
        <v>2.004008016032064E-3</v>
      </c>
      <c r="I377" s="4">
        <f t="shared" si="49"/>
        <v>-1.5254586683158112E-2</v>
      </c>
      <c r="J377" s="4">
        <f t="shared" si="50"/>
        <v>-1.0914332784184515E-2</v>
      </c>
      <c r="K377" s="4">
        <f t="shared" si="51"/>
        <v>-6.479933110367893E-3</v>
      </c>
      <c r="L377" s="4">
        <f t="shared" si="52"/>
        <v>154.75</v>
      </c>
      <c r="M377" s="3">
        <f t="shared" si="45"/>
        <v>3</v>
      </c>
      <c r="N377" s="3">
        <f t="shared" si="46"/>
        <v>22</v>
      </c>
      <c r="O377" s="3">
        <f t="shared" si="47"/>
        <v>1</v>
      </c>
    </row>
    <row r="378" spans="1:15" x14ac:dyDescent="0.2">
      <c r="A378" s="2">
        <v>44278</v>
      </c>
      <c r="B378" s="3">
        <v>23868</v>
      </c>
      <c r="C378" s="3">
        <v>23905</v>
      </c>
      <c r="D378" s="3">
        <v>23950</v>
      </c>
      <c r="E378" s="3">
        <v>23710</v>
      </c>
      <c r="F378" s="3">
        <v>15320</v>
      </c>
      <c r="G378" s="7">
        <f t="shared" si="53"/>
        <v>0</v>
      </c>
      <c r="H378" s="5">
        <f t="shared" si="48"/>
        <v>-5.4999999999999997E-3</v>
      </c>
      <c r="I378" s="4">
        <f t="shared" si="49"/>
        <v>8.3734561440234462E-4</v>
      </c>
      <c r="J378" s="4">
        <f t="shared" si="50"/>
        <v>-2.7066416822819073E-3</v>
      </c>
      <c r="K378" s="4">
        <f t="shared" si="51"/>
        <v>-2.3143277929728594E-3</v>
      </c>
      <c r="L378" s="4">
        <f t="shared" si="52"/>
        <v>0.22953451043338685</v>
      </c>
      <c r="M378" s="3">
        <f t="shared" si="45"/>
        <v>3</v>
      </c>
      <c r="N378" s="3">
        <f t="shared" si="46"/>
        <v>23</v>
      </c>
      <c r="O378" s="3">
        <f t="shared" si="47"/>
        <v>2</v>
      </c>
    </row>
    <row r="379" spans="1:15" x14ac:dyDescent="0.2">
      <c r="A379" s="2">
        <v>44279</v>
      </c>
      <c r="B379" s="3">
        <v>23937</v>
      </c>
      <c r="C379" s="3">
        <v>23730</v>
      </c>
      <c r="D379" s="3">
        <v>23955</v>
      </c>
      <c r="E379" s="3">
        <v>23650</v>
      </c>
      <c r="F379" s="3">
        <v>13600</v>
      </c>
      <c r="G379" s="7">
        <f t="shared" si="53"/>
        <v>1</v>
      </c>
      <c r="H379" s="5">
        <f t="shared" si="48"/>
        <v>2.8908999497234793E-3</v>
      </c>
      <c r="I379" s="4">
        <f t="shared" si="49"/>
        <v>-7.320644216691069E-3</v>
      </c>
      <c r="J379" s="4">
        <f t="shared" si="50"/>
        <v>2.0876826722338206E-4</v>
      </c>
      <c r="K379" s="4">
        <f t="shared" si="51"/>
        <v>-2.5305778152678194E-3</v>
      </c>
      <c r="L379" s="4">
        <f t="shared" si="52"/>
        <v>-0.1122715404699739</v>
      </c>
      <c r="M379" s="3">
        <f t="shared" si="45"/>
        <v>3</v>
      </c>
      <c r="N379" s="3">
        <f t="shared" si="46"/>
        <v>24</v>
      </c>
      <c r="O379" s="3">
        <f t="shared" si="47"/>
        <v>3</v>
      </c>
    </row>
    <row r="380" spans="1:15" x14ac:dyDescent="0.2">
      <c r="A380" s="2">
        <v>44280</v>
      </c>
      <c r="B380" s="3">
        <v>23946</v>
      </c>
      <c r="C380" s="3">
        <v>23900</v>
      </c>
      <c r="D380" s="3">
        <v>24135</v>
      </c>
      <c r="E380" s="3">
        <v>23730</v>
      </c>
      <c r="F380" s="3">
        <v>16070</v>
      </c>
      <c r="G380" s="7">
        <f t="shared" si="53"/>
        <v>1</v>
      </c>
      <c r="H380" s="5">
        <f t="shared" si="48"/>
        <v>3.7598696578518612E-4</v>
      </c>
      <c r="I380" s="4">
        <f t="shared" si="49"/>
        <v>7.1639275179098188E-3</v>
      </c>
      <c r="J380" s="4">
        <f t="shared" si="50"/>
        <v>7.5140889167188479E-3</v>
      </c>
      <c r="K380" s="4">
        <f t="shared" si="51"/>
        <v>3.3826638477801266E-3</v>
      </c>
      <c r="L380" s="4">
        <f t="shared" si="52"/>
        <v>0.18161764705882352</v>
      </c>
      <c r="M380" s="3">
        <f t="shared" si="45"/>
        <v>3</v>
      </c>
      <c r="N380" s="3">
        <f t="shared" si="46"/>
        <v>25</v>
      </c>
      <c r="O380" s="3">
        <f t="shared" si="47"/>
        <v>4</v>
      </c>
    </row>
    <row r="381" spans="1:15" x14ac:dyDescent="0.2">
      <c r="A381" s="2">
        <v>44281</v>
      </c>
      <c r="B381" s="3">
        <v>24131</v>
      </c>
      <c r="C381" s="3">
        <v>24155</v>
      </c>
      <c r="D381" s="3">
        <v>24280</v>
      </c>
      <c r="E381" s="3">
        <v>24005</v>
      </c>
      <c r="F381" s="3">
        <v>13760</v>
      </c>
      <c r="G381" s="7">
        <f t="shared" si="53"/>
        <v>1</v>
      </c>
      <c r="H381" s="5">
        <f t="shared" si="48"/>
        <v>7.7257161947715692E-3</v>
      </c>
      <c r="I381" s="4">
        <f t="shared" si="49"/>
        <v>1.0669456066945606E-2</v>
      </c>
      <c r="J381" s="4">
        <f t="shared" si="50"/>
        <v>6.0078723845038325E-3</v>
      </c>
      <c r="K381" s="4">
        <f t="shared" si="51"/>
        <v>1.1588706278971767E-2</v>
      </c>
      <c r="L381" s="4">
        <f t="shared" si="52"/>
        <v>-0.14374611076540136</v>
      </c>
      <c r="M381" s="3">
        <f t="shared" si="45"/>
        <v>3</v>
      </c>
      <c r="N381" s="3">
        <f t="shared" si="46"/>
        <v>26</v>
      </c>
      <c r="O381" s="3">
        <f t="shared" si="47"/>
        <v>5</v>
      </c>
    </row>
    <row r="382" spans="1:15" x14ac:dyDescent="0.2">
      <c r="A382" s="2">
        <v>44284</v>
      </c>
      <c r="B382" s="3">
        <v>24170</v>
      </c>
      <c r="C382" s="3">
        <v>24150</v>
      </c>
      <c r="D382" s="3">
        <v>24280</v>
      </c>
      <c r="E382" s="3">
        <v>24060</v>
      </c>
      <c r="F382" s="3">
        <v>11640</v>
      </c>
      <c r="G382" s="7">
        <f t="shared" si="53"/>
        <v>1</v>
      </c>
      <c r="H382" s="5">
        <f t="shared" si="48"/>
        <v>1.6161783597861672E-3</v>
      </c>
      <c r="I382" s="4">
        <f t="shared" si="49"/>
        <v>-2.0699648105982198E-4</v>
      </c>
      <c r="J382" s="4">
        <f t="shared" si="50"/>
        <v>0</v>
      </c>
      <c r="K382" s="4">
        <f t="shared" si="51"/>
        <v>2.2911893355550927E-3</v>
      </c>
      <c r="L382" s="4">
        <f t="shared" si="52"/>
        <v>-0.15406976744186046</v>
      </c>
      <c r="M382" s="3">
        <f t="shared" si="45"/>
        <v>3</v>
      </c>
      <c r="N382" s="3">
        <f t="shared" si="46"/>
        <v>29</v>
      </c>
      <c r="O382" s="3">
        <f t="shared" si="47"/>
        <v>1</v>
      </c>
    </row>
    <row r="383" spans="1:15" x14ac:dyDescent="0.2">
      <c r="A383" s="2">
        <v>44285</v>
      </c>
      <c r="B383" s="3">
        <v>24387</v>
      </c>
      <c r="C383" s="3">
        <v>24285</v>
      </c>
      <c r="D383" s="3">
        <v>24450</v>
      </c>
      <c r="E383" s="3">
        <v>24205</v>
      </c>
      <c r="F383" s="3">
        <v>13570</v>
      </c>
      <c r="G383" s="7">
        <f t="shared" si="53"/>
        <v>1</v>
      </c>
      <c r="H383" s="5">
        <f t="shared" si="48"/>
        <v>8.9780719900703354E-3</v>
      </c>
      <c r="I383" s="4">
        <f t="shared" si="49"/>
        <v>5.5900621118012426E-3</v>
      </c>
      <c r="J383" s="4">
        <f t="shared" si="50"/>
        <v>7.0016474464579901E-3</v>
      </c>
      <c r="K383" s="4">
        <f t="shared" si="51"/>
        <v>6.026600166251039E-3</v>
      </c>
      <c r="L383" s="4">
        <f t="shared" si="52"/>
        <v>0.16580756013745704</v>
      </c>
      <c r="M383" s="3">
        <f t="shared" si="45"/>
        <v>3</v>
      </c>
      <c r="N383" s="3">
        <f t="shared" si="46"/>
        <v>30</v>
      </c>
      <c r="O383" s="3">
        <f t="shared" si="47"/>
        <v>2</v>
      </c>
    </row>
    <row r="384" spans="1:15" x14ac:dyDescent="0.2">
      <c r="A384" s="2">
        <v>44286</v>
      </c>
      <c r="B384" s="3">
        <v>24394</v>
      </c>
      <c r="C384" s="3">
        <v>24350</v>
      </c>
      <c r="D384" s="3">
        <v>24520</v>
      </c>
      <c r="E384" s="3">
        <v>24345</v>
      </c>
      <c r="F384" s="3">
        <v>12960</v>
      </c>
      <c r="G384" s="7">
        <f t="shared" si="53"/>
        <v>1</v>
      </c>
      <c r="H384" s="5">
        <f t="shared" si="48"/>
        <v>2.8703817607741831E-4</v>
      </c>
      <c r="I384" s="4">
        <f t="shared" si="49"/>
        <v>2.6765493102738317E-3</v>
      </c>
      <c r="J384" s="4">
        <f t="shared" si="50"/>
        <v>2.8629856850715747E-3</v>
      </c>
      <c r="K384" s="4">
        <f t="shared" si="51"/>
        <v>5.7839289403015907E-3</v>
      </c>
      <c r="L384" s="4">
        <f t="shared" si="52"/>
        <v>-4.4952100221075902E-2</v>
      </c>
      <c r="M384" s="3">
        <f t="shared" si="45"/>
        <v>3</v>
      </c>
      <c r="N384" s="3">
        <f t="shared" si="46"/>
        <v>31</v>
      </c>
      <c r="O384" s="3">
        <f t="shared" si="47"/>
        <v>3</v>
      </c>
    </row>
    <row r="385" spans="1:15" x14ac:dyDescent="0.2">
      <c r="A385" s="2">
        <v>44287</v>
      </c>
      <c r="B385" s="3">
        <v>24457</v>
      </c>
      <c r="C385" s="3">
        <v>24435</v>
      </c>
      <c r="D385" s="3">
        <v>24640</v>
      </c>
      <c r="E385" s="3">
        <v>24390</v>
      </c>
      <c r="F385" s="3">
        <v>10690</v>
      </c>
      <c r="G385" s="7">
        <f t="shared" si="53"/>
        <v>1</v>
      </c>
      <c r="H385" s="5">
        <f t="shared" si="48"/>
        <v>2.5826022792489957E-3</v>
      </c>
      <c r="I385" s="4">
        <f t="shared" si="49"/>
        <v>3.4907597535934289E-3</v>
      </c>
      <c r="J385" s="4">
        <f t="shared" si="50"/>
        <v>4.8939641109298528E-3</v>
      </c>
      <c r="K385" s="4">
        <f t="shared" si="51"/>
        <v>1.8484288354898336E-3</v>
      </c>
      <c r="L385" s="4">
        <f t="shared" si="52"/>
        <v>-0.17515432098765432</v>
      </c>
      <c r="M385" s="3">
        <f t="shared" si="45"/>
        <v>4</v>
      </c>
      <c r="N385" s="3">
        <f t="shared" si="46"/>
        <v>1</v>
      </c>
      <c r="O385" s="3">
        <f t="shared" si="47"/>
        <v>4</v>
      </c>
    </row>
    <row r="386" spans="1:15" x14ac:dyDescent="0.2">
      <c r="A386" s="2">
        <v>44292</v>
      </c>
      <c r="B386" s="3">
        <v>24511</v>
      </c>
      <c r="C386" s="3">
        <v>24695</v>
      </c>
      <c r="D386" s="3">
        <v>24695</v>
      </c>
      <c r="E386" s="3">
        <v>24435</v>
      </c>
      <c r="F386" s="3">
        <v>19370</v>
      </c>
      <c r="G386" s="7">
        <f t="shared" si="53"/>
        <v>1</v>
      </c>
      <c r="H386" s="5">
        <f t="shared" si="48"/>
        <v>2.2079568221776997E-3</v>
      </c>
      <c r="I386" s="4">
        <f t="shared" si="49"/>
        <v>1.0640474728872518E-2</v>
      </c>
      <c r="J386" s="4">
        <f t="shared" si="50"/>
        <v>2.232142857142857E-3</v>
      </c>
      <c r="K386" s="4">
        <f t="shared" si="51"/>
        <v>1.8450184501845018E-3</v>
      </c>
      <c r="L386" s="4">
        <f t="shared" si="52"/>
        <v>0.81197380729653879</v>
      </c>
      <c r="M386" s="3">
        <f t="shared" ref="M386:M449" si="54">MONTH(A386)</f>
        <v>4</v>
      </c>
      <c r="N386" s="3">
        <f t="shared" ref="N386:N449" si="55">DAY(A386)</f>
        <v>6</v>
      </c>
      <c r="O386" s="3">
        <f t="shared" ref="O386:O449" si="56">WEEKDAY(A386,2)</f>
        <v>2</v>
      </c>
    </row>
    <row r="387" spans="1:15" x14ac:dyDescent="0.2">
      <c r="A387" s="2">
        <v>44293</v>
      </c>
      <c r="B387" s="3">
        <v>24469</v>
      </c>
      <c r="C387" s="3">
        <v>24470</v>
      </c>
      <c r="D387" s="3">
        <v>24565</v>
      </c>
      <c r="E387" s="3">
        <v>24335</v>
      </c>
      <c r="F387" s="3">
        <v>13000</v>
      </c>
      <c r="G387" s="7">
        <f t="shared" si="53"/>
        <v>0</v>
      </c>
      <c r="H387" s="5">
        <f t="shared" ref="H387:H450" si="57">(B387-B386)/B386</f>
        <v>-1.7135163804006366E-3</v>
      </c>
      <c r="I387" s="4">
        <f t="shared" ref="I387:I450" si="58">(C387-C386)/C386</f>
        <v>-9.1111561044745892E-3</v>
      </c>
      <c r="J387" s="4">
        <f t="shared" ref="J387:J450" si="59">(D387-D386)/D386</f>
        <v>-5.2642235270297629E-3</v>
      </c>
      <c r="K387" s="4">
        <f t="shared" ref="K387:K450" si="60">(E387-E386)/E386</f>
        <v>-4.0924902803355845E-3</v>
      </c>
      <c r="L387" s="4">
        <f t="shared" ref="L387:L450" si="61">(F387-F386)/F386</f>
        <v>-0.32885906040268459</v>
      </c>
      <c r="M387" s="3">
        <f t="shared" si="54"/>
        <v>4</v>
      </c>
      <c r="N387" s="3">
        <f t="shared" si="55"/>
        <v>7</v>
      </c>
      <c r="O387" s="3">
        <f t="shared" si="56"/>
        <v>3</v>
      </c>
    </row>
    <row r="388" spans="1:15" x14ac:dyDescent="0.2">
      <c r="A388" s="2">
        <v>44294</v>
      </c>
      <c r="B388" s="3">
        <v>24330</v>
      </c>
      <c r="C388" s="3">
        <v>24590</v>
      </c>
      <c r="D388" s="3">
        <v>24615</v>
      </c>
      <c r="E388" s="3">
        <v>24265</v>
      </c>
      <c r="F388" s="3">
        <v>18140</v>
      </c>
      <c r="G388" s="7">
        <f t="shared" ref="G388:G451" si="62">IF(H388&lt;0, 0, 1)</f>
        <v>0</v>
      </c>
      <c r="H388" s="5">
        <f t="shared" si="57"/>
        <v>-5.6806571580366996E-3</v>
      </c>
      <c r="I388" s="4">
        <f t="shared" si="58"/>
        <v>4.9039640375970577E-3</v>
      </c>
      <c r="J388" s="4">
        <f t="shared" si="59"/>
        <v>2.0354162426216163E-3</v>
      </c>
      <c r="K388" s="4">
        <f t="shared" si="60"/>
        <v>-2.8765153071707416E-3</v>
      </c>
      <c r="L388" s="4">
        <f t="shared" si="61"/>
        <v>0.39538461538461539</v>
      </c>
      <c r="M388" s="3">
        <f t="shared" si="54"/>
        <v>4</v>
      </c>
      <c r="N388" s="3">
        <f t="shared" si="55"/>
        <v>8</v>
      </c>
      <c r="O388" s="3">
        <f t="shared" si="56"/>
        <v>4</v>
      </c>
    </row>
    <row r="389" spans="1:15" x14ac:dyDescent="0.2">
      <c r="A389" s="2">
        <v>44295</v>
      </c>
      <c r="B389" s="3">
        <v>24184</v>
      </c>
      <c r="C389" s="3">
        <v>24300</v>
      </c>
      <c r="D389" s="3">
        <v>24415</v>
      </c>
      <c r="E389" s="3">
        <v>24155</v>
      </c>
      <c r="F389" s="3">
        <v>17060</v>
      </c>
      <c r="G389" s="7">
        <f t="shared" si="62"/>
        <v>0</v>
      </c>
      <c r="H389" s="5">
        <f t="shared" si="57"/>
        <v>-6.0008220304151256E-3</v>
      </c>
      <c r="I389" s="4">
        <f t="shared" si="58"/>
        <v>-1.1793411956079707E-2</v>
      </c>
      <c r="J389" s="4">
        <f t="shared" si="59"/>
        <v>-8.1251269551086743E-3</v>
      </c>
      <c r="K389" s="4">
        <f t="shared" si="60"/>
        <v>-4.53327838450443E-3</v>
      </c>
      <c r="L389" s="4">
        <f t="shared" si="61"/>
        <v>-5.9536934950385888E-2</v>
      </c>
      <c r="M389" s="3">
        <f t="shared" si="54"/>
        <v>4</v>
      </c>
      <c r="N389" s="3">
        <f t="shared" si="55"/>
        <v>9</v>
      </c>
      <c r="O389" s="3">
        <f t="shared" si="56"/>
        <v>5</v>
      </c>
    </row>
    <row r="390" spans="1:15" x14ac:dyDescent="0.2">
      <c r="A390" s="2">
        <v>44298</v>
      </c>
      <c r="B390" s="3">
        <v>24192</v>
      </c>
      <c r="C390" s="3">
        <v>24145</v>
      </c>
      <c r="D390" s="3">
        <v>24310</v>
      </c>
      <c r="E390" s="3">
        <v>24095</v>
      </c>
      <c r="F390" s="3">
        <v>15700</v>
      </c>
      <c r="G390" s="7">
        <f t="shared" si="62"/>
        <v>1</v>
      </c>
      <c r="H390" s="5">
        <f t="shared" si="57"/>
        <v>3.3079722130334107E-4</v>
      </c>
      <c r="I390" s="4">
        <f t="shared" si="58"/>
        <v>-6.3786008230452673E-3</v>
      </c>
      <c r="J390" s="4">
        <f t="shared" si="59"/>
        <v>-4.3006348556215443E-3</v>
      </c>
      <c r="K390" s="4">
        <f t="shared" si="60"/>
        <v>-2.4839577727178638E-3</v>
      </c>
      <c r="L390" s="4">
        <f t="shared" si="61"/>
        <v>-7.9718640093786639E-2</v>
      </c>
      <c r="M390" s="3">
        <f t="shared" si="54"/>
        <v>4</v>
      </c>
      <c r="N390" s="3">
        <f t="shared" si="55"/>
        <v>12</v>
      </c>
      <c r="O390" s="3">
        <f t="shared" si="56"/>
        <v>1</v>
      </c>
    </row>
    <row r="391" spans="1:15" x14ac:dyDescent="0.2">
      <c r="A391" s="2">
        <v>44299</v>
      </c>
      <c r="B391" s="3">
        <v>24334</v>
      </c>
      <c r="C391" s="3">
        <v>24195</v>
      </c>
      <c r="D391" s="3">
        <v>24430</v>
      </c>
      <c r="E391" s="3">
        <v>24180</v>
      </c>
      <c r="F391" s="3">
        <v>15100</v>
      </c>
      <c r="G391" s="7">
        <f t="shared" si="62"/>
        <v>1</v>
      </c>
      <c r="H391" s="5">
        <f t="shared" si="57"/>
        <v>5.8697089947089944E-3</v>
      </c>
      <c r="I391" s="4">
        <f t="shared" si="58"/>
        <v>2.0708221163802027E-3</v>
      </c>
      <c r="J391" s="4">
        <f t="shared" si="59"/>
        <v>4.9362402303578775E-3</v>
      </c>
      <c r="K391" s="4">
        <f t="shared" si="60"/>
        <v>3.5277028429134675E-3</v>
      </c>
      <c r="L391" s="4">
        <f t="shared" si="61"/>
        <v>-3.8216560509554139E-2</v>
      </c>
      <c r="M391" s="3">
        <f t="shared" si="54"/>
        <v>4</v>
      </c>
      <c r="N391" s="3">
        <f t="shared" si="55"/>
        <v>13</v>
      </c>
      <c r="O391" s="3">
        <f t="shared" si="56"/>
        <v>2</v>
      </c>
    </row>
    <row r="392" spans="1:15" x14ac:dyDescent="0.2">
      <c r="A392" s="2">
        <v>44300</v>
      </c>
      <c r="B392" s="3">
        <v>24315</v>
      </c>
      <c r="C392" s="3">
        <v>24440</v>
      </c>
      <c r="D392" s="3">
        <v>24440</v>
      </c>
      <c r="E392" s="3">
        <v>24170</v>
      </c>
      <c r="F392" s="3">
        <v>16770</v>
      </c>
      <c r="G392" s="7">
        <f t="shared" si="62"/>
        <v>0</v>
      </c>
      <c r="H392" s="5">
        <f t="shared" si="57"/>
        <v>-7.80800526012986E-4</v>
      </c>
      <c r="I392" s="4">
        <f t="shared" si="58"/>
        <v>1.0126059103120479E-2</v>
      </c>
      <c r="J392" s="4">
        <f t="shared" si="59"/>
        <v>4.0933278755628325E-4</v>
      </c>
      <c r="K392" s="4">
        <f t="shared" si="60"/>
        <v>-4.1356492969396195E-4</v>
      </c>
      <c r="L392" s="4">
        <f t="shared" si="61"/>
        <v>0.11059602649006622</v>
      </c>
      <c r="M392" s="3">
        <f t="shared" si="54"/>
        <v>4</v>
      </c>
      <c r="N392" s="3">
        <f t="shared" si="55"/>
        <v>14</v>
      </c>
      <c r="O392" s="3">
        <f t="shared" si="56"/>
        <v>3</v>
      </c>
    </row>
    <row r="393" spans="1:15" x14ac:dyDescent="0.2">
      <c r="A393" s="2">
        <v>44301</v>
      </c>
      <c r="B393" s="3">
        <v>24281</v>
      </c>
      <c r="C393" s="3">
        <v>24260</v>
      </c>
      <c r="D393" s="3">
        <v>24380</v>
      </c>
      <c r="E393" s="3">
        <v>24205</v>
      </c>
      <c r="F393" s="3">
        <v>14580</v>
      </c>
      <c r="G393" s="7">
        <f t="shared" si="62"/>
        <v>0</v>
      </c>
      <c r="H393" s="5">
        <f t="shared" si="57"/>
        <v>-1.3983137980670367E-3</v>
      </c>
      <c r="I393" s="4">
        <f t="shared" si="58"/>
        <v>-7.3649754500818331E-3</v>
      </c>
      <c r="J393" s="4">
        <f t="shared" si="59"/>
        <v>-2.4549918166939444E-3</v>
      </c>
      <c r="K393" s="4">
        <f t="shared" si="60"/>
        <v>1.4480761274306992E-3</v>
      </c>
      <c r="L393" s="4">
        <f t="shared" si="61"/>
        <v>-0.13059033989266547</v>
      </c>
      <c r="M393" s="3">
        <f t="shared" si="54"/>
        <v>4</v>
      </c>
      <c r="N393" s="3">
        <f t="shared" si="55"/>
        <v>15</v>
      </c>
      <c r="O393" s="3">
        <f t="shared" si="56"/>
        <v>4</v>
      </c>
    </row>
    <row r="394" spans="1:15" x14ac:dyDescent="0.2">
      <c r="A394" s="2">
        <v>44302</v>
      </c>
      <c r="B394" s="3">
        <v>24504</v>
      </c>
      <c r="C394" s="3">
        <v>24320</v>
      </c>
      <c r="D394" s="3">
        <v>24605</v>
      </c>
      <c r="E394" s="3">
        <v>24260</v>
      </c>
      <c r="F394" s="3">
        <v>15510</v>
      </c>
      <c r="G394" s="7">
        <f t="shared" si="62"/>
        <v>1</v>
      </c>
      <c r="H394" s="5">
        <f t="shared" si="57"/>
        <v>9.184135743997365E-3</v>
      </c>
      <c r="I394" s="4">
        <f t="shared" si="58"/>
        <v>2.4732069249793899E-3</v>
      </c>
      <c r="J394" s="4">
        <f t="shared" si="59"/>
        <v>9.2288761279737484E-3</v>
      </c>
      <c r="K394" s="4">
        <f t="shared" si="60"/>
        <v>2.272257797975625E-3</v>
      </c>
      <c r="L394" s="4">
        <f t="shared" si="61"/>
        <v>6.3786008230452676E-2</v>
      </c>
      <c r="M394" s="3">
        <f t="shared" si="54"/>
        <v>4</v>
      </c>
      <c r="N394" s="3">
        <f t="shared" si="55"/>
        <v>16</v>
      </c>
      <c r="O394" s="3">
        <f t="shared" si="56"/>
        <v>5</v>
      </c>
    </row>
    <row r="395" spans="1:15" x14ac:dyDescent="0.2">
      <c r="A395" s="2">
        <v>44305</v>
      </c>
      <c r="B395" s="3">
        <v>24450</v>
      </c>
      <c r="C395" s="3">
        <v>24545</v>
      </c>
      <c r="D395" s="3">
        <v>24585</v>
      </c>
      <c r="E395" s="3">
        <v>24410</v>
      </c>
      <c r="F395" s="3">
        <v>16970</v>
      </c>
      <c r="G395" s="7">
        <f t="shared" si="62"/>
        <v>0</v>
      </c>
      <c r="H395" s="5">
        <f t="shared" si="57"/>
        <v>-2.2037218413320275E-3</v>
      </c>
      <c r="I395" s="4">
        <f t="shared" si="58"/>
        <v>9.2516447368421045E-3</v>
      </c>
      <c r="J395" s="4">
        <f t="shared" si="59"/>
        <v>-8.1284291810607601E-4</v>
      </c>
      <c r="K395" s="4">
        <f t="shared" si="60"/>
        <v>6.1830173124484749E-3</v>
      </c>
      <c r="L395" s="4">
        <f t="shared" si="61"/>
        <v>9.4132817537072852E-2</v>
      </c>
      <c r="M395" s="3">
        <f t="shared" si="54"/>
        <v>4</v>
      </c>
      <c r="N395" s="3">
        <f t="shared" si="55"/>
        <v>19</v>
      </c>
      <c r="O395" s="3">
        <f t="shared" si="56"/>
        <v>1</v>
      </c>
    </row>
    <row r="396" spans="1:15" x14ac:dyDescent="0.2">
      <c r="A396" s="2">
        <v>44306</v>
      </c>
      <c r="B396" s="3">
        <v>23835</v>
      </c>
      <c r="C396" s="3">
        <v>24485</v>
      </c>
      <c r="D396" s="3">
        <v>24510</v>
      </c>
      <c r="E396" s="3">
        <v>23805</v>
      </c>
      <c r="F396" s="3">
        <v>26360</v>
      </c>
      <c r="G396" s="7">
        <f t="shared" si="62"/>
        <v>0</v>
      </c>
      <c r="H396" s="5">
        <f t="shared" si="57"/>
        <v>-2.5153374233128835E-2</v>
      </c>
      <c r="I396" s="4">
        <f t="shared" si="58"/>
        <v>-2.4444897127724589E-3</v>
      </c>
      <c r="J396" s="4">
        <f t="shared" si="59"/>
        <v>-3.0506406345332522E-3</v>
      </c>
      <c r="K396" s="4">
        <f t="shared" si="60"/>
        <v>-2.4784924211388774E-2</v>
      </c>
      <c r="L396" s="4">
        <f t="shared" si="61"/>
        <v>0.55332940483205661</v>
      </c>
      <c r="M396" s="3">
        <f t="shared" si="54"/>
        <v>4</v>
      </c>
      <c r="N396" s="3">
        <f t="shared" si="55"/>
        <v>20</v>
      </c>
      <c r="O396" s="3">
        <f t="shared" si="56"/>
        <v>2</v>
      </c>
    </row>
    <row r="397" spans="1:15" x14ac:dyDescent="0.2">
      <c r="A397" s="2">
        <v>44307</v>
      </c>
      <c r="B397" s="3">
        <v>23935</v>
      </c>
      <c r="C397" s="3">
        <v>23905</v>
      </c>
      <c r="D397" s="3">
        <v>24095</v>
      </c>
      <c r="E397" s="3">
        <v>23695</v>
      </c>
      <c r="F397" s="3">
        <v>22360</v>
      </c>
      <c r="G397" s="7">
        <f t="shared" si="62"/>
        <v>1</v>
      </c>
      <c r="H397" s="5">
        <f t="shared" si="57"/>
        <v>4.195510803440319E-3</v>
      </c>
      <c r="I397" s="4">
        <f t="shared" si="58"/>
        <v>-2.3687972227894628E-2</v>
      </c>
      <c r="J397" s="4">
        <f t="shared" si="59"/>
        <v>-1.6931864545083639E-2</v>
      </c>
      <c r="K397" s="4">
        <f t="shared" si="60"/>
        <v>-4.6208779668136949E-3</v>
      </c>
      <c r="L397" s="4">
        <f t="shared" si="61"/>
        <v>-0.15174506828528073</v>
      </c>
      <c r="M397" s="3">
        <f t="shared" si="54"/>
        <v>4</v>
      </c>
      <c r="N397" s="3">
        <f t="shared" si="55"/>
        <v>21</v>
      </c>
      <c r="O397" s="3">
        <f t="shared" si="56"/>
        <v>3</v>
      </c>
    </row>
    <row r="398" spans="1:15" x14ac:dyDescent="0.2">
      <c r="A398" s="2">
        <v>44308</v>
      </c>
      <c r="B398" s="3">
        <v>24165</v>
      </c>
      <c r="C398" s="3">
        <v>24115</v>
      </c>
      <c r="D398" s="3">
        <v>24195</v>
      </c>
      <c r="E398" s="3">
        <v>23955</v>
      </c>
      <c r="F398" s="3">
        <v>16810</v>
      </c>
      <c r="G398" s="7">
        <f t="shared" si="62"/>
        <v>1</v>
      </c>
      <c r="H398" s="5">
        <f t="shared" si="57"/>
        <v>9.6093586797576774E-3</v>
      </c>
      <c r="I398" s="4">
        <f t="shared" si="58"/>
        <v>8.7847730600292828E-3</v>
      </c>
      <c r="J398" s="4">
        <f t="shared" si="59"/>
        <v>4.1502386387217262E-3</v>
      </c>
      <c r="K398" s="4">
        <f t="shared" si="60"/>
        <v>1.097277906731378E-2</v>
      </c>
      <c r="L398" s="4">
        <f t="shared" si="61"/>
        <v>-0.24821109123434704</v>
      </c>
      <c r="M398" s="3">
        <f t="shared" si="54"/>
        <v>4</v>
      </c>
      <c r="N398" s="3">
        <f t="shared" si="55"/>
        <v>22</v>
      </c>
      <c r="O398" s="3">
        <f t="shared" si="56"/>
        <v>4</v>
      </c>
    </row>
    <row r="399" spans="1:15" x14ac:dyDescent="0.2">
      <c r="A399" s="2">
        <v>44309</v>
      </c>
      <c r="B399" s="3">
        <v>24155</v>
      </c>
      <c r="C399" s="3">
        <v>24090</v>
      </c>
      <c r="D399" s="3">
        <v>24245</v>
      </c>
      <c r="E399" s="3">
        <v>24000</v>
      </c>
      <c r="F399" s="3">
        <v>12710</v>
      </c>
      <c r="G399" s="7">
        <f t="shared" si="62"/>
        <v>0</v>
      </c>
      <c r="H399" s="5">
        <f t="shared" si="57"/>
        <v>-4.1382164287192218E-4</v>
      </c>
      <c r="I399" s="4">
        <f t="shared" si="58"/>
        <v>-1.0366991499066972E-3</v>
      </c>
      <c r="J399" s="4">
        <f t="shared" si="59"/>
        <v>2.0665426741062203E-3</v>
      </c>
      <c r="K399" s="4">
        <f t="shared" si="60"/>
        <v>1.878522229179712E-3</v>
      </c>
      <c r="L399" s="4">
        <f t="shared" si="61"/>
        <v>-0.24390243902439024</v>
      </c>
      <c r="M399" s="3">
        <f t="shared" si="54"/>
        <v>4</v>
      </c>
      <c r="N399" s="3">
        <f t="shared" si="55"/>
        <v>23</v>
      </c>
      <c r="O399" s="3">
        <f t="shared" si="56"/>
        <v>5</v>
      </c>
    </row>
    <row r="400" spans="1:15" x14ac:dyDescent="0.2">
      <c r="A400" s="2">
        <v>44312</v>
      </c>
      <c r="B400" s="3">
        <v>24291</v>
      </c>
      <c r="C400" s="3">
        <v>24190</v>
      </c>
      <c r="D400" s="3">
        <v>24325</v>
      </c>
      <c r="E400" s="3">
        <v>24095</v>
      </c>
      <c r="F400" s="3">
        <v>14770</v>
      </c>
      <c r="G400" s="7">
        <f t="shared" si="62"/>
        <v>1</v>
      </c>
      <c r="H400" s="5">
        <f t="shared" si="57"/>
        <v>5.6303042848271576E-3</v>
      </c>
      <c r="I400" s="4">
        <f t="shared" si="58"/>
        <v>4.1511000415110008E-3</v>
      </c>
      <c r="J400" s="4">
        <f t="shared" si="59"/>
        <v>3.2996494122499486E-3</v>
      </c>
      <c r="K400" s="4">
        <f t="shared" si="60"/>
        <v>3.9583333333333337E-3</v>
      </c>
      <c r="L400" s="4">
        <f t="shared" si="61"/>
        <v>0.16207710464201416</v>
      </c>
      <c r="M400" s="3">
        <f t="shared" si="54"/>
        <v>4</v>
      </c>
      <c r="N400" s="3">
        <f t="shared" si="55"/>
        <v>26</v>
      </c>
      <c r="O400" s="3">
        <f t="shared" si="56"/>
        <v>1</v>
      </c>
    </row>
    <row r="401" spans="1:15" x14ac:dyDescent="0.2">
      <c r="A401" s="2">
        <v>44313</v>
      </c>
      <c r="B401" s="3">
        <v>24235</v>
      </c>
      <c r="C401" s="3">
        <v>24335</v>
      </c>
      <c r="D401" s="3">
        <v>24335</v>
      </c>
      <c r="E401" s="3">
        <v>24120</v>
      </c>
      <c r="F401" s="3">
        <v>14750</v>
      </c>
      <c r="G401" s="7">
        <f t="shared" si="62"/>
        <v>0</v>
      </c>
      <c r="H401" s="5">
        <f t="shared" si="57"/>
        <v>-2.3053805936355028E-3</v>
      </c>
      <c r="I401" s="4">
        <f t="shared" si="58"/>
        <v>5.9942124844977263E-3</v>
      </c>
      <c r="J401" s="4">
        <f t="shared" si="59"/>
        <v>4.1109969167523125E-4</v>
      </c>
      <c r="K401" s="4">
        <f t="shared" si="60"/>
        <v>1.0375596596804316E-3</v>
      </c>
      <c r="L401" s="4">
        <f t="shared" si="61"/>
        <v>-1.3540961408259986E-3</v>
      </c>
      <c r="M401" s="3">
        <f t="shared" si="54"/>
        <v>4</v>
      </c>
      <c r="N401" s="3">
        <f t="shared" si="55"/>
        <v>27</v>
      </c>
      <c r="O401" s="3">
        <f t="shared" si="56"/>
        <v>2</v>
      </c>
    </row>
    <row r="402" spans="1:15" x14ac:dyDescent="0.2">
      <c r="A402" s="2">
        <v>44314</v>
      </c>
      <c r="B402" s="3">
        <v>24242</v>
      </c>
      <c r="C402" s="3">
        <v>24285</v>
      </c>
      <c r="D402" s="3">
        <v>24325</v>
      </c>
      <c r="E402" s="3">
        <v>24140</v>
      </c>
      <c r="F402" s="3">
        <v>13440</v>
      </c>
      <c r="G402" s="7">
        <f t="shared" si="62"/>
        <v>1</v>
      </c>
      <c r="H402" s="5">
        <f t="shared" si="57"/>
        <v>2.8883845677738808E-4</v>
      </c>
      <c r="I402" s="4">
        <f t="shared" si="58"/>
        <v>-2.0546537908362442E-3</v>
      </c>
      <c r="J402" s="4">
        <f t="shared" si="59"/>
        <v>-4.1093075816724881E-4</v>
      </c>
      <c r="K402" s="4">
        <f t="shared" si="60"/>
        <v>8.2918739635157548E-4</v>
      </c>
      <c r="L402" s="4">
        <f t="shared" si="61"/>
        <v>-8.88135593220339E-2</v>
      </c>
      <c r="M402" s="3">
        <f t="shared" si="54"/>
        <v>4</v>
      </c>
      <c r="N402" s="3">
        <f t="shared" si="55"/>
        <v>28</v>
      </c>
      <c r="O402" s="3">
        <f t="shared" si="56"/>
        <v>3</v>
      </c>
    </row>
    <row r="403" spans="1:15" x14ac:dyDescent="0.2">
      <c r="A403" s="2">
        <v>44315</v>
      </c>
      <c r="B403" s="3">
        <v>24168</v>
      </c>
      <c r="C403" s="3">
        <v>24280</v>
      </c>
      <c r="D403" s="3">
        <v>24355</v>
      </c>
      <c r="E403" s="3">
        <v>23930</v>
      </c>
      <c r="F403" s="3">
        <v>18940</v>
      </c>
      <c r="G403" s="7">
        <f t="shared" si="62"/>
        <v>0</v>
      </c>
      <c r="H403" s="5">
        <f t="shared" si="57"/>
        <v>-3.0525534196848446E-3</v>
      </c>
      <c r="I403" s="4">
        <f t="shared" si="58"/>
        <v>-2.0588840848260242E-4</v>
      </c>
      <c r="J403" s="4">
        <f t="shared" si="59"/>
        <v>1.2332990750256938E-3</v>
      </c>
      <c r="K403" s="4">
        <f t="shared" si="60"/>
        <v>-8.6992543496271744E-3</v>
      </c>
      <c r="L403" s="4">
        <f t="shared" si="61"/>
        <v>0.40922619047619047</v>
      </c>
      <c r="M403" s="3">
        <f t="shared" si="54"/>
        <v>4</v>
      </c>
      <c r="N403" s="3">
        <f t="shared" si="55"/>
        <v>29</v>
      </c>
      <c r="O403" s="3">
        <f t="shared" si="56"/>
        <v>4</v>
      </c>
    </row>
    <row r="404" spans="1:15" x14ac:dyDescent="0.2">
      <c r="A404" s="2">
        <v>44316</v>
      </c>
      <c r="B404" s="3">
        <v>23911</v>
      </c>
      <c r="C404" s="3">
        <v>24065</v>
      </c>
      <c r="D404" s="3">
        <v>24170</v>
      </c>
      <c r="E404" s="3">
        <v>23840</v>
      </c>
      <c r="F404" s="3">
        <v>16850</v>
      </c>
      <c r="G404" s="7">
        <f t="shared" si="62"/>
        <v>0</v>
      </c>
      <c r="H404" s="5">
        <f t="shared" si="57"/>
        <v>-1.0633896060906985E-2</v>
      </c>
      <c r="I404" s="4">
        <f t="shared" si="58"/>
        <v>-8.8550247116968694E-3</v>
      </c>
      <c r="J404" s="4">
        <f t="shared" si="59"/>
        <v>-7.595976185588175E-3</v>
      </c>
      <c r="K404" s="4">
        <f t="shared" si="60"/>
        <v>-3.7609694943585457E-3</v>
      </c>
      <c r="L404" s="4">
        <f t="shared" si="61"/>
        <v>-0.11034846884899684</v>
      </c>
      <c r="M404" s="3">
        <f t="shared" si="54"/>
        <v>4</v>
      </c>
      <c r="N404" s="3">
        <f t="shared" si="55"/>
        <v>30</v>
      </c>
      <c r="O404" s="3">
        <f t="shared" si="56"/>
        <v>5</v>
      </c>
    </row>
    <row r="405" spans="1:15" x14ac:dyDescent="0.2">
      <c r="A405" s="2">
        <v>44319</v>
      </c>
      <c r="B405" s="3">
        <v>24184</v>
      </c>
      <c r="C405" s="3">
        <v>23940</v>
      </c>
      <c r="D405" s="3">
        <v>24265</v>
      </c>
      <c r="E405" s="3">
        <v>23915</v>
      </c>
      <c r="F405" s="3">
        <v>17340</v>
      </c>
      <c r="G405" s="7">
        <f t="shared" si="62"/>
        <v>1</v>
      </c>
      <c r="H405" s="5">
        <f t="shared" si="57"/>
        <v>1.141733929990381E-2</v>
      </c>
      <c r="I405" s="4">
        <f t="shared" si="58"/>
        <v>-5.1942655308539372E-3</v>
      </c>
      <c r="J405" s="4">
        <f t="shared" si="59"/>
        <v>3.9304923458833262E-3</v>
      </c>
      <c r="K405" s="4">
        <f t="shared" si="60"/>
        <v>3.1459731543624159E-3</v>
      </c>
      <c r="L405" s="4">
        <f t="shared" si="61"/>
        <v>2.9080118694362018E-2</v>
      </c>
      <c r="M405" s="3">
        <f t="shared" si="54"/>
        <v>5</v>
      </c>
      <c r="N405" s="3">
        <f t="shared" si="55"/>
        <v>3</v>
      </c>
      <c r="O405" s="3">
        <f t="shared" si="56"/>
        <v>1</v>
      </c>
    </row>
    <row r="406" spans="1:15" x14ac:dyDescent="0.2">
      <c r="A406" s="2">
        <v>44320</v>
      </c>
      <c r="B406" s="3">
        <v>23980</v>
      </c>
      <c r="C406" s="3">
        <v>24205</v>
      </c>
      <c r="D406" s="3">
        <v>24305</v>
      </c>
      <c r="E406" s="3">
        <v>23710</v>
      </c>
      <c r="F406" s="3">
        <v>26230</v>
      </c>
      <c r="G406" s="7">
        <f t="shared" si="62"/>
        <v>0</v>
      </c>
      <c r="H406" s="5">
        <f t="shared" si="57"/>
        <v>-8.4353291432351964E-3</v>
      </c>
      <c r="I406" s="4">
        <f t="shared" si="58"/>
        <v>1.1069340016708437E-2</v>
      </c>
      <c r="J406" s="4">
        <f t="shared" si="59"/>
        <v>1.6484648670925201E-3</v>
      </c>
      <c r="K406" s="4">
        <f t="shared" si="60"/>
        <v>-8.5720259251515791E-3</v>
      </c>
      <c r="L406" s="4">
        <f t="shared" si="61"/>
        <v>0.51268742791234145</v>
      </c>
      <c r="M406" s="3">
        <f t="shared" si="54"/>
        <v>5</v>
      </c>
      <c r="N406" s="3">
        <f t="shared" si="55"/>
        <v>4</v>
      </c>
      <c r="O406" s="3">
        <f t="shared" si="56"/>
        <v>2</v>
      </c>
    </row>
    <row r="407" spans="1:15" x14ac:dyDescent="0.2">
      <c r="A407" s="2">
        <v>44321</v>
      </c>
      <c r="B407" s="3">
        <v>24241</v>
      </c>
      <c r="C407" s="3">
        <v>23945</v>
      </c>
      <c r="D407" s="3">
        <v>24295</v>
      </c>
      <c r="E407" s="3">
        <v>23880</v>
      </c>
      <c r="F407" s="3">
        <v>17980</v>
      </c>
      <c r="G407" s="7">
        <f t="shared" si="62"/>
        <v>1</v>
      </c>
      <c r="H407" s="5">
        <f t="shared" si="57"/>
        <v>1.0884070058381984E-2</v>
      </c>
      <c r="I407" s="4">
        <f t="shared" si="58"/>
        <v>-1.0741582317702954E-2</v>
      </c>
      <c r="J407" s="4">
        <f t="shared" si="59"/>
        <v>-4.1143797572515943E-4</v>
      </c>
      <c r="K407" s="4">
        <f t="shared" si="60"/>
        <v>7.169970476592155E-3</v>
      </c>
      <c r="L407" s="4">
        <f t="shared" si="61"/>
        <v>-0.31452535264963782</v>
      </c>
      <c r="M407" s="3">
        <f t="shared" si="54"/>
        <v>5</v>
      </c>
      <c r="N407" s="3">
        <f t="shared" si="55"/>
        <v>5</v>
      </c>
      <c r="O407" s="3">
        <f t="shared" si="56"/>
        <v>3</v>
      </c>
    </row>
    <row r="408" spans="1:15" x14ac:dyDescent="0.2">
      <c r="A408" s="2">
        <v>44322</v>
      </c>
      <c r="B408" s="3">
        <v>24283</v>
      </c>
      <c r="C408" s="3">
        <v>24290</v>
      </c>
      <c r="D408" s="3">
        <v>24465</v>
      </c>
      <c r="E408" s="3">
        <v>24155</v>
      </c>
      <c r="F408" s="3">
        <v>16740</v>
      </c>
      <c r="G408" s="7">
        <f t="shared" si="62"/>
        <v>1</v>
      </c>
      <c r="H408" s="5">
        <f t="shared" si="57"/>
        <v>1.7326017903551833E-3</v>
      </c>
      <c r="I408" s="4">
        <f t="shared" si="58"/>
        <v>1.4408018375443725E-2</v>
      </c>
      <c r="J408" s="4">
        <f t="shared" si="59"/>
        <v>6.9973245523770322E-3</v>
      </c>
      <c r="K408" s="4">
        <f t="shared" si="60"/>
        <v>1.1515912897822446E-2</v>
      </c>
      <c r="L408" s="4">
        <f t="shared" si="61"/>
        <v>-6.8965517241379309E-2</v>
      </c>
      <c r="M408" s="3">
        <f t="shared" si="54"/>
        <v>5</v>
      </c>
      <c r="N408" s="3">
        <f t="shared" si="55"/>
        <v>6</v>
      </c>
      <c r="O408" s="3">
        <f t="shared" si="56"/>
        <v>4</v>
      </c>
    </row>
    <row r="409" spans="1:15" x14ac:dyDescent="0.2">
      <c r="A409" s="2">
        <v>44323</v>
      </c>
      <c r="B409" s="3">
        <v>24387</v>
      </c>
      <c r="C409" s="3">
        <v>24375</v>
      </c>
      <c r="D409" s="3">
        <v>24465</v>
      </c>
      <c r="E409" s="3">
        <v>24200</v>
      </c>
      <c r="F409" s="3">
        <v>16610</v>
      </c>
      <c r="G409" s="7">
        <f t="shared" si="62"/>
        <v>1</v>
      </c>
      <c r="H409" s="5">
        <f t="shared" si="57"/>
        <v>4.2828316105917724E-3</v>
      </c>
      <c r="I409" s="4">
        <f t="shared" si="58"/>
        <v>3.4993824619184849E-3</v>
      </c>
      <c r="J409" s="4">
        <f t="shared" si="59"/>
        <v>0</v>
      </c>
      <c r="K409" s="4">
        <f t="shared" si="60"/>
        <v>1.8629683295383979E-3</v>
      </c>
      <c r="L409" s="4">
        <f t="shared" si="61"/>
        <v>-7.7658303464755076E-3</v>
      </c>
      <c r="M409" s="3">
        <f t="shared" si="54"/>
        <v>5</v>
      </c>
      <c r="N409" s="3">
        <f t="shared" si="55"/>
        <v>7</v>
      </c>
      <c r="O409" s="3">
        <f t="shared" si="56"/>
        <v>5</v>
      </c>
    </row>
    <row r="410" spans="1:15" x14ac:dyDescent="0.2">
      <c r="A410" s="2">
        <v>44326</v>
      </c>
      <c r="B410" s="3">
        <v>24588</v>
      </c>
      <c r="C410" s="3">
        <v>24445</v>
      </c>
      <c r="D410" s="3">
        <v>24615</v>
      </c>
      <c r="E410" s="3">
        <v>24435</v>
      </c>
      <c r="F410" s="3">
        <v>16020</v>
      </c>
      <c r="G410" s="7">
        <f t="shared" si="62"/>
        <v>1</v>
      </c>
      <c r="H410" s="5">
        <f t="shared" si="57"/>
        <v>8.2420961987944401E-3</v>
      </c>
      <c r="I410" s="4">
        <f t="shared" si="58"/>
        <v>2.871794871794872E-3</v>
      </c>
      <c r="J410" s="4">
        <f t="shared" si="59"/>
        <v>6.1312078479460455E-3</v>
      </c>
      <c r="K410" s="4">
        <f t="shared" si="60"/>
        <v>9.7107438016528925E-3</v>
      </c>
      <c r="L410" s="4">
        <f t="shared" si="61"/>
        <v>-3.5520770620108368E-2</v>
      </c>
      <c r="M410" s="3">
        <f t="shared" si="54"/>
        <v>5</v>
      </c>
      <c r="N410" s="3">
        <f t="shared" si="55"/>
        <v>10</v>
      </c>
      <c r="O410" s="3">
        <f t="shared" si="56"/>
        <v>1</v>
      </c>
    </row>
    <row r="411" spans="1:15" x14ac:dyDescent="0.2">
      <c r="A411" s="2">
        <v>44327</v>
      </c>
      <c r="B411" s="3">
        <v>24176</v>
      </c>
      <c r="C411" s="3">
        <v>24345</v>
      </c>
      <c r="D411" s="3">
        <v>24405</v>
      </c>
      <c r="E411" s="3">
        <v>24045</v>
      </c>
      <c r="F411" s="3">
        <v>23330</v>
      </c>
      <c r="G411" s="7">
        <f t="shared" si="62"/>
        <v>0</v>
      </c>
      <c r="H411" s="5">
        <f t="shared" si="57"/>
        <v>-1.675614120709289E-2</v>
      </c>
      <c r="I411" s="4">
        <f t="shared" si="58"/>
        <v>-4.0908161178155045E-3</v>
      </c>
      <c r="J411" s="4">
        <f t="shared" si="59"/>
        <v>-8.5313833028641071E-3</v>
      </c>
      <c r="K411" s="4">
        <f t="shared" si="60"/>
        <v>-1.5960712093308779E-2</v>
      </c>
      <c r="L411" s="4">
        <f t="shared" si="61"/>
        <v>0.45630461922596754</v>
      </c>
      <c r="M411" s="3">
        <f t="shared" si="54"/>
        <v>5</v>
      </c>
      <c r="N411" s="3">
        <f t="shared" si="55"/>
        <v>11</v>
      </c>
      <c r="O411" s="3">
        <f t="shared" si="56"/>
        <v>2</v>
      </c>
    </row>
    <row r="412" spans="1:15" x14ac:dyDescent="0.2">
      <c r="A412" s="2">
        <v>44328</v>
      </c>
      <c r="B412" s="3">
        <v>24260</v>
      </c>
      <c r="C412" s="3">
        <v>24110</v>
      </c>
      <c r="D412" s="3">
        <v>24330</v>
      </c>
      <c r="E412" s="3">
        <v>24035</v>
      </c>
      <c r="F412" s="3">
        <v>20990</v>
      </c>
      <c r="G412" s="7">
        <f t="shared" si="62"/>
        <v>1</v>
      </c>
      <c r="H412" s="5">
        <f t="shared" si="57"/>
        <v>3.4745201853077431E-3</v>
      </c>
      <c r="I412" s="4">
        <f t="shared" si="58"/>
        <v>-9.6529061408913534E-3</v>
      </c>
      <c r="J412" s="4">
        <f t="shared" si="59"/>
        <v>-3.0731407498463428E-3</v>
      </c>
      <c r="K412" s="4">
        <f t="shared" si="60"/>
        <v>-4.1588687876897482E-4</v>
      </c>
      <c r="L412" s="4">
        <f t="shared" si="61"/>
        <v>-0.10030004286326619</v>
      </c>
      <c r="M412" s="3">
        <f t="shared" si="54"/>
        <v>5</v>
      </c>
      <c r="N412" s="3">
        <f t="shared" si="55"/>
        <v>12</v>
      </c>
      <c r="O412" s="3">
        <f t="shared" si="56"/>
        <v>3</v>
      </c>
    </row>
    <row r="413" spans="1:15" x14ac:dyDescent="0.2">
      <c r="A413" s="2">
        <v>44329</v>
      </c>
      <c r="B413" s="3">
        <v>24280</v>
      </c>
      <c r="C413" s="3">
        <v>24050</v>
      </c>
      <c r="D413" s="3">
        <v>24390</v>
      </c>
      <c r="E413" s="3">
        <v>23680</v>
      </c>
      <c r="F413" s="3">
        <v>29330</v>
      </c>
      <c r="G413" s="7">
        <f t="shared" si="62"/>
        <v>1</v>
      </c>
      <c r="H413" s="5">
        <f t="shared" si="57"/>
        <v>8.2440230832646333E-4</v>
      </c>
      <c r="I413" s="4">
        <f t="shared" si="58"/>
        <v>-2.4885939444214021E-3</v>
      </c>
      <c r="J413" s="4">
        <f t="shared" si="59"/>
        <v>2.4660912453760789E-3</v>
      </c>
      <c r="K413" s="4">
        <f t="shared" si="60"/>
        <v>-1.4770126898273351E-2</v>
      </c>
      <c r="L413" s="4">
        <f t="shared" si="61"/>
        <v>0.39733206288708911</v>
      </c>
      <c r="M413" s="3">
        <f t="shared" si="54"/>
        <v>5</v>
      </c>
      <c r="N413" s="3">
        <f t="shared" si="55"/>
        <v>13</v>
      </c>
      <c r="O413" s="3">
        <f t="shared" si="56"/>
        <v>4</v>
      </c>
    </row>
    <row r="414" spans="1:15" x14ac:dyDescent="0.2">
      <c r="A414" s="2">
        <v>44330</v>
      </c>
      <c r="B414" s="3">
        <v>24550</v>
      </c>
      <c r="C414" s="3">
        <v>24440</v>
      </c>
      <c r="D414" s="3">
        <v>24710</v>
      </c>
      <c r="E414" s="3">
        <v>24215</v>
      </c>
      <c r="F414" s="3">
        <v>19340</v>
      </c>
      <c r="G414" s="7">
        <f t="shared" si="62"/>
        <v>1</v>
      </c>
      <c r="H414" s="5">
        <f t="shared" si="57"/>
        <v>1.1120263591433279E-2</v>
      </c>
      <c r="I414" s="4">
        <f t="shared" si="58"/>
        <v>1.6216216216216217E-2</v>
      </c>
      <c r="J414" s="4">
        <f t="shared" si="59"/>
        <v>1.3120131201312012E-2</v>
      </c>
      <c r="K414" s="4">
        <f t="shared" si="60"/>
        <v>2.2592905405405407E-2</v>
      </c>
      <c r="L414" s="4">
        <f t="shared" si="61"/>
        <v>-0.34060688714626663</v>
      </c>
      <c r="M414" s="3">
        <f t="shared" si="54"/>
        <v>5</v>
      </c>
      <c r="N414" s="3">
        <f t="shared" si="55"/>
        <v>14</v>
      </c>
      <c r="O414" s="3">
        <f t="shared" si="56"/>
        <v>5</v>
      </c>
    </row>
    <row r="415" spans="1:15" x14ac:dyDescent="0.2">
      <c r="A415" s="2">
        <v>44333</v>
      </c>
      <c r="B415" s="3">
        <v>24654</v>
      </c>
      <c r="C415" s="3">
        <v>24605</v>
      </c>
      <c r="D415" s="3">
        <v>24740</v>
      </c>
      <c r="E415" s="3">
        <v>24505</v>
      </c>
      <c r="F415" s="3">
        <v>13580</v>
      </c>
      <c r="G415" s="7">
        <f t="shared" si="62"/>
        <v>1</v>
      </c>
      <c r="H415" s="5">
        <f t="shared" si="57"/>
        <v>4.2362525458248474E-3</v>
      </c>
      <c r="I415" s="4">
        <f t="shared" si="58"/>
        <v>6.7512274959083468E-3</v>
      </c>
      <c r="J415" s="4">
        <f t="shared" si="59"/>
        <v>1.2140833670578712E-3</v>
      </c>
      <c r="K415" s="4">
        <f t="shared" si="60"/>
        <v>1.1976047904191617E-2</v>
      </c>
      <c r="L415" s="4">
        <f t="shared" si="61"/>
        <v>-0.29782833505687695</v>
      </c>
      <c r="M415" s="3">
        <f t="shared" si="54"/>
        <v>5</v>
      </c>
      <c r="N415" s="3">
        <f t="shared" si="55"/>
        <v>17</v>
      </c>
      <c r="O415" s="3">
        <f t="shared" si="56"/>
        <v>1</v>
      </c>
    </row>
    <row r="416" spans="1:15" x14ac:dyDescent="0.2">
      <c r="A416" s="2">
        <v>44334</v>
      </c>
      <c r="B416" s="3">
        <v>24689</v>
      </c>
      <c r="C416" s="3">
        <v>24820</v>
      </c>
      <c r="D416" s="3">
        <v>25015</v>
      </c>
      <c r="E416" s="3">
        <v>24550</v>
      </c>
      <c r="F416" s="3">
        <v>13200</v>
      </c>
      <c r="G416" s="7">
        <f t="shared" si="62"/>
        <v>1</v>
      </c>
      <c r="H416" s="5">
        <f t="shared" si="57"/>
        <v>1.4196479273140261E-3</v>
      </c>
      <c r="I416" s="4">
        <f t="shared" si="58"/>
        <v>8.7380613696403167E-3</v>
      </c>
      <c r="J416" s="4">
        <f t="shared" si="59"/>
        <v>1.1115602263540825E-2</v>
      </c>
      <c r="K416" s="4">
        <f t="shared" si="60"/>
        <v>1.8363599265456029E-3</v>
      </c>
      <c r="L416" s="4">
        <f t="shared" si="61"/>
        <v>-2.7982326951399118E-2</v>
      </c>
      <c r="M416" s="3">
        <f t="shared" si="54"/>
        <v>5</v>
      </c>
      <c r="N416" s="3">
        <f t="shared" si="55"/>
        <v>18</v>
      </c>
      <c r="O416" s="3">
        <f t="shared" si="56"/>
        <v>2</v>
      </c>
    </row>
    <row r="417" spans="1:15" x14ac:dyDescent="0.2">
      <c r="A417" s="2">
        <v>44335</v>
      </c>
      <c r="B417" s="3">
        <v>24287</v>
      </c>
      <c r="C417" s="3">
        <v>24480</v>
      </c>
      <c r="D417" s="3">
        <v>24560</v>
      </c>
      <c r="E417" s="3">
        <v>24045</v>
      </c>
      <c r="F417" s="3">
        <v>26660</v>
      </c>
      <c r="G417" s="7">
        <f t="shared" si="62"/>
        <v>0</v>
      </c>
      <c r="H417" s="5">
        <f t="shared" si="57"/>
        <v>-1.6282554984000972E-2</v>
      </c>
      <c r="I417" s="4">
        <f t="shared" si="58"/>
        <v>-1.3698630136986301E-2</v>
      </c>
      <c r="J417" s="4">
        <f t="shared" si="59"/>
        <v>-1.8189086548071158E-2</v>
      </c>
      <c r="K417" s="4">
        <f t="shared" si="60"/>
        <v>-2.0570264765784115E-2</v>
      </c>
      <c r="L417" s="4">
        <f t="shared" si="61"/>
        <v>1.0196969696969698</v>
      </c>
      <c r="M417" s="3">
        <f t="shared" si="54"/>
        <v>5</v>
      </c>
      <c r="N417" s="3">
        <f t="shared" si="55"/>
        <v>19</v>
      </c>
      <c r="O417" s="3">
        <f t="shared" si="56"/>
        <v>3</v>
      </c>
    </row>
    <row r="418" spans="1:15" x14ac:dyDescent="0.2">
      <c r="A418" s="2">
        <v>44336</v>
      </c>
      <c r="B418" s="3">
        <v>24491</v>
      </c>
      <c r="C418" s="3">
        <v>24405</v>
      </c>
      <c r="D418" s="3">
        <v>24550</v>
      </c>
      <c r="E418" s="3">
        <v>24180</v>
      </c>
      <c r="F418" s="3">
        <v>17220</v>
      </c>
      <c r="G418" s="7">
        <f t="shared" si="62"/>
        <v>1</v>
      </c>
      <c r="H418" s="5">
        <f t="shared" si="57"/>
        <v>8.3995553176596533E-3</v>
      </c>
      <c r="I418" s="4">
        <f t="shared" si="58"/>
        <v>-3.0637254901960784E-3</v>
      </c>
      <c r="J418" s="4">
        <f t="shared" si="59"/>
        <v>-4.0716612377850165E-4</v>
      </c>
      <c r="K418" s="4">
        <f t="shared" si="60"/>
        <v>5.6144728633811605E-3</v>
      </c>
      <c r="L418" s="4">
        <f t="shared" si="61"/>
        <v>-0.35408852213053266</v>
      </c>
      <c r="M418" s="3">
        <f t="shared" si="54"/>
        <v>5</v>
      </c>
      <c r="N418" s="3">
        <f t="shared" si="55"/>
        <v>20</v>
      </c>
      <c r="O418" s="3">
        <f t="shared" si="56"/>
        <v>4</v>
      </c>
    </row>
    <row r="419" spans="1:15" x14ac:dyDescent="0.2">
      <c r="A419" s="2">
        <v>44337</v>
      </c>
      <c r="B419" s="3">
        <v>24755</v>
      </c>
      <c r="C419" s="3">
        <v>24525</v>
      </c>
      <c r="D419" s="3">
        <v>24840</v>
      </c>
      <c r="E419" s="3">
        <v>24470</v>
      </c>
      <c r="F419" s="3">
        <v>17770</v>
      </c>
      <c r="G419" s="7">
        <f t="shared" si="62"/>
        <v>1</v>
      </c>
      <c r="H419" s="5">
        <f t="shared" si="57"/>
        <v>1.0779470009391204E-2</v>
      </c>
      <c r="I419" s="4">
        <f t="shared" si="58"/>
        <v>4.9170251997541483E-3</v>
      </c>
      <c r="J419" s="4">
        <f t="shared" si="59"/>
        <v>1.1812627291242363E-2</v>
      </c>
      <c r="K419" s="4">
        <f t="shared" si="60"/>
        <v>1.1993382961124897E-2</v>
      </c>
      <c r="L419" s="4">
        <f t="shared" si="61"/>
        <v>3.1939605110336819E-2</v>
      </c>
      <c r="M419" s="3">
        <f t="shared" si="54"/>
        <v>5</v>
      </c>
      <c r="N419" s="3">
        <f t="shared" si="55"/>
        <v>21</v>
      </c>
      <c r="O419" s="3">
        <f t="shared" si="56"/>
        <v>5</v>
      </c>
    </row>
    <row r="420" spans="1:15" x14ac:dyDescent="0.2">
      <c r="A420" s="2">
        <v>44340</v>
      </c>
      <c r="B420" s="3">
        <v>24888</v>
      </c>
      <c r="C420" s="3">
        <v>24815</v>
      </c>
      <c r="D420" s="3">
        <v>24960</v>
      </c>
      <c r="E420" s="3">
        <v>24780</v>
      </c>
      <c r="F420" s="3">
        <v>14290</v>
      </c>
      <c r="G420" s="7">
        <f t="shared" si="62"/>
        <v>1</v>
      </c>
      <c r="H420" s="5">
        <f t="shared" si="57"/>
        <v>5.3726519894970711E-3</v>
      </c>
      <c r="I420" s="4">
        <f t="shared" si="58"/>
        <v>1.1824668705402651E-2</v>
      </c>
      <c r="J420" s="4">
        <f t="shared" si="59"/>
        <v>4.830917874396135E-3</v>
      </c>
      <c r="K420" s="4">
        <f t="shared" si="60"/>
        <v>1.2668573763792398E-2</v>
      </c>
      <c r="L420" s="4">
        <f t="shared" si="61"/>
        <v>-0.19583567810917277</v>
      </c>
      <c r="M420" s="3">
        <f t="shared" si="54"/>
        <v>5</v>
      </c>
      <c r="N420" s="3">
        <f t="shared" si="55"/>
        <v>24</v>
      </c>
      <c r="O420" s="3">
        <f t="shared" si="56"/>
        <v>1</v>
      </c>
    </row>
    <row r="421" spans="1:15" x14ac:dyDescent="0.2">
      <c r="A421" s="2">
        <v>44341</v>
      </c>
      <c r="B421" s="3">
        <v>24881</v>
      </c>
      <c r="C421" s="3">
        <v>24950</v>
      </c>
      <c r="D421" s="3">
        <v>24995</v>
      </c>
      <c r="E421" s="3">
        <v>24850</v>
      </c>
      <c r="F421" s="3">
        <v>12730</v>
      </c>
      <c r="G421" s="7">
        <f t="shared" si="62"/>
        <v>0</v>
      </c>
      <c r="H421" s="5">
        <f t="shared" si="57"/>
        <v>-2.8126004500160718E-4</v>
      </c>
      <c r="I421" s="4">
        <f t="shared" si="58"/>
        <v>5.4402579085230706E-3</v>
      </c>
      <c r="J421" s="4">
        <f t="shared" si="59"/>
        <v>1.4022435897435897E-3</v>
      </c>
      <c r="K421" s="4">
        <f t="shared" si="60"/>
        <v>2.8248587570621469E-3</v>
      </c>
      <c r="L421" s="4">
        <f t="shared" si="61"/>
        <v>-0.10916724982505248</v>
      </c>
      <c r="M421" s="3">
        <f t="shared" si="54"/>
        <v>5</v>
      </c>
      <c r="N421" s="3">
        <f t="shared" si="55"/>
        <v>25</v>
      </c>
      <c r="O421" s="3">
        <f t="shared" si="56"/>
        <v>2</v>
      </c>
    </row>
    <row r="422" spans="1:15" x14ac:dyDescent="0.2">
      <c r="A422" s="2">
        <v>44342</v>
      </c>
      <c r="B422" s="3">
        <v>24750</v>
      </c>
      <c r="C422" s="3">
        <v>24925</v>
      </c>
      <c r="D422" s="3">
        <v>24985</v>
      </c>
      <c r="E422" s="3">
        <v>24665</v>
      </c>
      <c r="F422" s="3">
        <v>13430</v>
      </c>
      <c r="G422" s="7">
        <f t="shared" si="62"/>
        <v>0</v>
      </c>
      <c r="H422" s="5">
        <f t="shared" si="57"/>
        <v>-5.2650616936618299E-3</v>
      </c>
      <c r="I422" s="4">
        <f t="shared" si="58"/>
        <v>-1.002004008016032E-3</v>
      </c>
      <c r="J422" s="4">
        <f t="shared" si="59"/>
        <v>-4.0008001600320064E-4</v>
      </c>
      <c r="K422" s="4">
        <f t="shared" si="60"/>
        <v>-7.4446680080482901E-3</v>
      </c>
      <c r="L422" s="4">
        <f t="shared" si="61"/>
        <v>5.4988216810683423E-2</v>
      </c>
      <c r="M422" s="3">
        <f t="shared" si="54"/>
        <v>5</v>
      </c>
      <c r="N422" s="3">
        <f t="shared" si="55"/>
        <v>26</v>
      </c>
      <c r="O422" s="3">
        <f t="shared" si="56"/>
        <v>3</v>
      </c>
    </row>
    <row r="423" spans="1:15" x14ac:dyDescent="0.2">
      <c r="A423" s="2">
        <v>44343</v>
      </c>
      <c r="B423" s="3">
        <v>25038</v>
      </c>
      <c r="C423" s="3">
        <v>24760</v>
      </c>
      <c r="D423" s="3">
        <v>25095</v>
      </c>
      <c r="E423" s="3">
        <v>24665</v>
      </c>
      <c r="F423" s="3">
        <v>16200</v>
      </c>
      <c r="G423" s="7">
        <f t="shared" si="62"/>
        <v>1</v>
      </c>
      <c r="H423" s="5">
        <f t="shared" si="57"/>
        <v>1.1636363636363636E-2</v>
      </c>
      <c r="I423" s="4">
        <f t="shared" si="58"/>
        <v>-6.6198595787362088E-3</v>
      </c>
      <c r="J423" s="4">
        <f t="shared" si="59"/>
        <v>4.402641584950971E-3</v>
      </c>
      <c r="K423" s="4">
        <f t="shared" si="60"/>
        <v>0</v>
      </c>
      <c r="L423" s="4">
        <f t="shared" si="61"/>
        <v>0.20625465376023827</v>
      </c>
      <c r="M423" s="3">
        <f t="shared" si="54"/>
        <v>5</v>
      </c>
      <c r="N423" s="3">
        <f t="shared" si="55"/>
        <v>27</v>
      </c>
      <c r="O423" s="3">
        <f t="shared" si="56"/>
        <v>4</v>
      </c>
    </row>
    <row r="424" spans="1:15" x14ac:dyDescent="0.2">
      <c r="A424" s="2">
        <v>44344</v>
      </c>
      <c r="B424" s="3">
        <v>25168</v>
      </c>
      <c r="C424" s="3">
        <v>25115</v>
      </c>
      <c r="D424" s="3">
        <v>25185</v>
      </c>
      <c r="E424" s="3">
        <v>25010</v>
      </c>
      <c r="F424" s="3">
        <v>12760</v>
      </c>
      <c r="G424" s="7">
        <f t="shared" si="62"/>
        <v>1</v>
      </c>
      <c r="H424" s="5">
        <f t="shared" si="57"/>
        <v>5.1921079958463139E-3</v>
      </c>
      <c r="I424" s="4">
        <f t="shared" si="58"/>
        <v>1.4337641357027463E-2</v>
      </c>
      <c r="J424" s="4">
        <f t="shared" si="59"/>
        <v>3.5863717872086074E-3</v>
      </c>
      <c r="K424" s="4">
        <f t="shared" si="60"/>
        <v>1.3987431583215082E-2</v>
      </c>
      <c r="L424" s="4">
        <f t="shared" si="61"/>
        <v>-0.21234567901234569</v>
      </c>
      <c r="M424" s="3">
        <f t="shared" si="54"/>
        <v>5</v>
      </c>
      <c r="N424" s="3">
        <f t="shared" si="55"/>
        <v>28</v>
      </c>
      <c r="O424" s="3">
        <f t="shared" si="56"/>
        <v>5</v>
      </c>
    </row>
    <row r="425" spans="1:15" x14ac:dyDescent="0.2">
      <c r="A425" s="2">
        <v>44347</v>
      </c>
      <c r="B425" s="3">
        <v>25172</v>
      </c>
      <c r="C425" s="3">
        <v>25100</v>
      </c>
      <c r="D425" s="3">
        <v>25270</v>
      </c>
      <c r="E425" s="3">
        <v>25100</v>
      </c>
      <c r="F425" s="3">
        <v>8940</v>
      </c>
      <c r="G425" s="7">
        <f t="shared" si="62"/>
        <v>1</v>
      </c>
      <c r="H425" s="5">
        <f t="shared" si="57"/>
        <v>1.589319771137953E-4</v>
      </c>
      <c r="I425" s="4">
        <f t="shared" si="58"/>
        <v>-5.9725263786581729E-4</v>
      </c>
      <c r="J425" s="4">
        <f t="shared" si="59"/>
        <v>3.3750248163589439E-3</v>
      </c>
      <c r="K425" s="4">
        <f t="shared" si="60"/>
        <v>3.5985605757696921E-3</v>
      </c>
      <c r="L425" s="4">
        <f t="shared" si="61"/>
        <v>-0.29937304075235111</v>
      </c>
      <c r="M425" s="3">
        <f t="shared" si="54"/>
        <v>5</v>
      </c>
      <c r="N425" s="3">
        <f t="shared" si="55"/>
        <v>31</v>
      </c>
      <c r="O425" s="3">
        <f t="shared" si="56"/>
        <v>1</v>
      </c>
    </row>
    <row r="426" spans="1:15" x14ac:dyDescent="0.2">
      <c r="A426" s="2">
        <v>44348</v>
      </c>
      <c r="B426" s="3">
        <v>25319</v>
      </c>
      <c r="C426" s="3">
        <v>25230</v>
      </c>
      <c r="D426" s="3">
        <v>25550</v>
      </c>
      <c r="E426" s="3">
        <v>25215</v>
      </c>
      <c r="F426" s="3">
        <v>18350</v>
      </c>
      <c r="G426" s="7">
        <f t="shared" si="62"/>
        <v>1</v>
      </c>
      <c r="H426" s="5">
        <f t="shared" si="57"/>
        <v>5.8398220244716354E-3</v>
      </c>
      <c r="I426" s="4">
        <f t="shared" si="58"/>
        <v>5.1792828685258965E-3</v>
      </c>
      <c r="J426" s="4">
        <f t="shared" si="59"/>
        <v>1.1080332409972299E-2</v>
      </c>
      <c r="K426" s="4">
        <f t="shared" si="60"/>
        <v>4.5816733067729079E-3</v>
      </c>
      <c r="L426" s="4">
        <f t="shared" si="61"/>
        <v>1.0525727069351229</v>
      </c>
      <c r="M426" s="3">
        <f t="shared" si="54"/>
        <v>6</v>
      </c>
      <c r="N426" s="3">
        <f t="shared" si="55"/>
        <v>1</v>
      </c>
      <c r="O426" s="3">
        <f t="shared" si="56"/>
        <v>2</v>
      </c>
    </row>
    <row r="427" spans="1:15" x14ac:dyDescent="0.2">
      <c r="A427" s="2">
        <v>44349</v>
      </c>
      <c r="B427" s="3">
        <v>25350</v>
      </c>
      <c r="C427" s="3">
        <v>25350</v>
      </c>
      <c r="D427" s="3">
        <v>25400</v>
      </c>
      <c r="E427" s="3">
        <v>25245</v>
      </c>
      <c r="F427" s="3">
        <v>10780</v>
      </c>
      <c r="G427" s="7">
        <f t="shared" si="62"/>
        <v>1</v>
      </c>
      <c r="H427" s="5">
        <f t="shared" si="57"/>
        <v>1.2243769501165134E-3</v>
      </c>
      <c r="I427" s="4">
        <f t="shared" si="58"/>
        <v>4.7562425683709865E-3</v>
      </c>
      <c r="J427" s="4">
        <f t="shared" si="59"/>
        <v>-5.8708414872798431E-3</v>
      </c>
      <c r="K427" s="4">
        <f t="shared" si="60"/>
        <v>1.1897679952409281E-3</v>
      </c>
      <c r="L427" s="4">
        <f t="shared" si="61"/>
        <v>-0.41253405994550407</v>
      </c>
      <c r="M427" s="3">
        <f t="shared" si="54"/>
        <v>6</v>
      </c>
      <c r="N427" s="3">
        <f t="shared" si="55"/>
        <v>2</v>
      </c>
      <c r="O427" s="3">
        <f t="shared" si="56"/>
        <v>3</v>
      </c>
    </row>
    <row r="428" spans="1:15" x14ac:dyDescent="0.2">
      <c r="A428" s="2">
        <v>44350</v>
      </c>
      <c r="B428" s="3">
        <v>25458</v>
      </c>
      <c r="C428" s="3">
        <v>25370</v>
      </c>
      <c r="D428" s="3">
        <v>25475</v>
      </c>
      <c r="E428" s="3">
        <v>25185</v>
      </c>
      <c r="F428" s="3">
        <v>13810</v>
      </c>
      <c r="G428" s="7">
        <f t="shared" si="62"/>
        <v>1</v>
      </c>
      <c r="H428" s="5">
        <f t="shared" si="57"/>
        <v>4.2603550295857986E-3</v>
      </c>
      <c r="I428" s="4">
        <f t="shared" si="58"/>
        <v>7.8895463510848124E-4</v>
      </c>
      <c r="J428" s="4">
        <f t="shared" si="59"/>
        <v>2.952755905511811E-3</v>
      </c>
      <c r="K428" s="4">
        <f t="shared" si="60"/>
        <v>-2.3767082590612004E-3</v>
      </c>
      <c r="L428" s="4">
        <f t="shared" si="61"/>
        <v>0.28107606679035252</v>
      </c>
      <c r="M428" s="3">
        <f t="shared" si="54"/>
        <v>6</v>
      </c>
      <c r="N428" s="3">
        <f t="shared" si="55"/>
        <v>3</v>
      </c>
      <c r="O428" s="3">
        <f t="shared" si="56"/>
        <v>4</v>
      </c>
    </row>
    <row r="429" spans="1:15" x14ac:dyDescent="0.2">
      <c r="A429" s="2">
        <v>44351</v>
      </c>
      <c r="B429" s="3">
        <v>25553</v>
      </c>
      <c r="C429" s="3">
        <v>25445</v>
      </c>
      <c r="D429" s="3">
        <v>25635</v>
      </c>
      <c r="E429" s="3">
        <v>25410</v>
      </c>
      <c r="F429" s="3">
        <v>11650</v>
      </c>
      <c r="G429" s="7">
        <f t="shared" si="62"/>
        <v>1</v>
      </c>
      <c r="H429" s="5">
        <f t="shared" si="57"/>
        <v>3.7316364207714667E-3</v>
      </c>
      <c r="I429" s="4">
        <f t="shared" si="58"/>
        <v>2.9562475364603865E-3</v>
      </c>
      <c r="J429" s="4">
        <f t="shared" si="59"/>
        <v>6.2806673209028462E-3</v>
      </c>
      <c r="K429" s="4">
        <f t="shared" si="60"/>
        <v>8.9338892197736754E-3</v>
      </c>
      <c r="L429" s="4">
        <f t="shared" si="61"/>
        <v>-0.15640839971035481</v>
      </c>
      <c r="M429" s="3">
        <f t="shared" si="54"/>
        <v>6</v>
      </c>
      <c r="N429" s="3">
        <f t="shared" si="55"/>
        <v>4</v>
      </c>
      <c r="O429" s="3">
        <f t="shared" si="56"/>
        <v>5</v>
      </c>
    </row>
    <row r="430" spans="1:15" x14ac:dyDescent="0.2">
      <c r="A430" s="2">
        <v>44354</v>
      </c>
      <c r="B430" s="3">
        <v>25797</v>
      </c>
      <c r="C430" s="3">
        <v>25535</v>
      </c>
      <c r="D430" s="3">
        <v>25855</v>
      </c>
      <c r="E430" s="3">
        <v>25500</v>
      </c>
      <c r="F430" s="3">
        <v>17760</v>
      </c>
      <c r="G430" s="7">
        <f t="shared" si="62"/>
        <v>1</v>
      </c>
      <c r="H430" s="5">
        <f t="shared" si="57"/>
        <v>9.5487809650530268E-3</v>
      </c>
      <c r="I430" s="4">
        <f t="shared" si="58"/>
        <v>3.5370406759677735E-3</v>
      </c>
      <c r="J430" s="4">
        <f t="shared" si="59"/>
        <v>8.5820167739418772E-3</v>
      </c>
      <c r="K430" s="4">
        <f t="shared" si="60"/>
        <v>3.5419126328217238E-3</v>
      </c>
      <c r="L430" s="4">
        <f t="shared" si="61"/>
        <v>0.5244635193133047</v>
      </c>
      <c r="M430" s="3">
        <f t="shared" si="54"/>
        <v>6</v>
      </c>
      <c r="N430" s="3">
        <f t="shared" si="55"/>
        <v>7</v>
      </c>
      <c r="O430" s="3">
        <f t="shared" si="56"/>
        <v>1</v>
      </c>
    </row>
    <row r="431" spans="1:15" x14ac:dyDescent="0.2">
      <c r="A431" s="2">
        <v>44355</v>
      </c>
      <c r="B431" s="3">
        <v>25806</v>
      </c>
      <c r="C431" s="3">
        <v>25810</v>
      </c>
      <c r="D431" s="3">
        <v>25925</v>
      </c>
      <c r="E431" s="3">
        <v>25700</v>
      </c>
      <c r="F431" s="3">
        <v>17370</v>
      </c>
      <c r="G431" s="7">
        <f t="shared" si="62"/>
        <v>1</v>
      </c>
      <c r="H431" s="5">
        <f t="shared" si="57"/>
        <v>3.4887777648563787E-4</v>
      </c>
      <c r="I431" s="4">
        <f t="shared" si="58"/>
        <v>1.0769532014881535E-2</v>
      </c>
      <c r="J431" s="4">
        <f t="shared" si="59"/>
        <v>2.707406691162251E-3</v>
      </c>
      <c r="K431" s="4">
        <f t="shared" si="60"/>
        <v>7.8431372549019607E-3</v>
      </c>
      <c r="L431" s="4">
        <f t="shared" si="61"/>
        <v>-2.1959459459459461E-2</v>
      </c>
      <c r="M431" s="3">
        <f t="shared" si="54"/>
        <v>6</v>
      </c>
      <c r="N431" s="3">
        <f t="shared" si="55"/>
        <v>8</v>
      </c>
      <c r="O431" s="3">
        <f t="shared" si="56"/>
        <v>2</v>
      </c>
    </row>
    <row r="432" spans="1:15" x14ac:dyDescent="0.2">
      <c r="A432" s="2">
        <v>44356</v>
      </c>
      <c r="B432" s="3">
        <v>25738</v>
      </c>
      <c r="C432" s="3">
        <v>25840</v>
      </c>
      <c r="D432" s="3">
        <v>25870</v>
      </c>
      <c r="E432" s="3">
        <v>25685</v>
      </c>
      <c r="F432" s="3">
        <v>10420</v>
      </c>
      <c r="G432" s="7">
        <f t="shared" si="62"/>
        <v>0</v>
      </c>
      <c r="H432" s="5">
        <f t="shared" si="57"/>
        <v>-2.635046113306983E-3</v>
      </c>
      <c r="I432" s="4">
        <f t="shared" si="58"/>
        <v>1.162340178225494E-3</v>
      </c>
      <c r="J432" s="4">
        <f t="shared" si="59"/>
        <v>-2.1215043394406945E-3</v>
      </c>
      <c r="K432" s="4">
        <f t="shared" si="60"/>
        <v>-5.8365758754863812E-4</v>
      </c>
      <c r="L432" s="4">
        <f t="shared" si="61"/>
        <v>-0.40011514104778356</v>
      </c>
      <c r="M432" s="3">
        <f t="shared" si="54"/>
        <v>6</v>
      </c>
      <c r="N432" s="3">
        <f t="shared" si="55"/>
        <v>9</v>
      </c>
      <c r="O432" s="3">
        <f t="shared" si="56"/>
        <v>3</v>
      </c>
    </row>
    <row r="433" spans="1:15" x14ac:dyDescent="0.2">
      <c r="A433" s="2">
        <v>44357</v>
      </c>
      <c r="B433" s="3">
        <v>25643</v>
      </c>
      <c r="C433" s="3">
        <v>25750</v>
      </c>
      <c r="D433" s="3">
        <v>25775</v>
      </c>
      <c r="E433" s="3">
        <v>25515</v>
      </c>
      <c r="F433" s="3">
        <v>18870</v>
      </c>
      <c r="G433" s="7">
        <f t="shared" si="62"/>
        <v>0</v>
      </c>
      <c r="H433" s="5">
        <f t="shared" si="57"/>
        <v>-3.6910404848861603E-3</v>
      </c>
      <c r="I433" s="4">
        <f t="shared" si="58"/>
        <v>-3.4829721362229101E-3</v>
      </c>
      <c r="J433" s="4">
        <f t="shared" si="59"/>
        <v>-3.6722071897951295E-3</v>
      </c>
      <c r="K433" s="4">
        <f t="shared" si="60"/>
        <v>-6.6186490169359551E-3</v>
      </c>
      <c r="L433" s="4">
        <f t="shared" si="61"/>
        <v>0.81094049904030707</v>
      </c>
      <c r="M433" s="3">
        <f t="shared" si="54"/>
        <v>6</v>
      </c>
      <c r="N433" s="3">
        <f t="shared" si="55"/>
        <v>10</v>
      </c>
      <c r="O433" s="3">
        <f t="shared" si="56"/>
        <v>4</v>
      </c>
    </row>
    <row r="434" spans="1:15" x14ac:dyDescent="0.2">
      <c r="A434" s="2">
        <v>44358</v>
      </c>
      <c r="B434" s="3">
        <v>25726</v>
      </c>
      <c r="C434" s="3">
        <v>25655</v>
      </c>
      <c r="D434" s="3">
        <v>25820</v>
      </c>
      <c r="E434" s="3">
        <v>25605</v>
      </c>
      <c r="F434" s="3">
        <v>13660</v>
      </c>
      <c r="G434" s="7">
        <f t="shared" si="62"/>
        <v>1</v>
      </c>
      <c r="H434" s="5">
        <f t="shared" si="57"/>
        <v>3.2367507701906951E-3</v>
      </c>
      <c r="I434" s="4">
        <f t="shared" si="58"/>
        <v>-3.6893203883495147E-3</v>
      </c>
      <c r="J434" s="4">
        <f t="shared" si="59"/>
        <v>1.7458777885548012E-3</v>
      </c>
      <c r="K434" s="4">
        <f t="shared" si="60"/>
        <v>3.5273368606701938E-3</v>
      </c>
      <c r="L434" s="4">
        <f t="shared" si="61"/>
        <v>-0.27609962904080554</v>
      </c>
      <c r="M434" s="3">
        <f t="shared" si="54"/>
        <v>6</v>
      </c>
      <c r="N434" s="3">
        <f t="shared" si="55"/>
        <v>11</v>
      </c>
      <c r="O434" s="3">
        <f t="shared" si="56"/>
        <v>5</v>
      </c>
    </row>
    <row r="435" spans="1:15" x14ac:dyDescent="0.2">
      <c r="A435" s="2">
        <v>44361</v>
      </c>
      <c r="B435" s="3">
        <v>25751</v>
      </c>
      <c r="C435" s="3">
        <v>25775</v>
      </c>
      <c r="D435" s="3">
        <v>25870</v>
      </c>
      <c r="E435" s="3">
        <v>25685</v>
      </c>
      <c r="F435" s="3">
        <v>35140</v>
      </c>
      <c r="G435" s="7">
        <f t="shared" si="62"/>
        <v>1</v>
      </c>
      <c r="H435" s="5">
        <f t="shared" si="57"/>
        <v>9.7177952266189844E-4</v>
      </c>
      <c r="I435" s="4">
        <f t="shared" si="58"/>
        <v>4.677450789319821E-3</v>
      </c>
      <c r="J435" s="4">
        <f t="shared" si="59"/>
        <v>1.9364833462432224E-3</v>
      </c>
      <c r="K435" s="4">
        <f t="shared" si="60"/>
        <v>3.1243897676235112E-3</v>
      </c>
      <c r="L435" s="4">
        <f t="shared" si="61"/>
        <v>1.5724743777452417</v>
      </c>
      <c r="M435" s="3">
        <f t="shared" si="54"/>
        <v>6</v>
      </c>
      <c r="N435" s="3">
        <f t="shared" si="55"/>
        <v>14</v>
      </c>
      <c r="O435" s="3">
        <f t="shared" si="56"/>
        <v>1</v>
      </c>
    </row>
    <row r="436" spans="1:15" x14ac:dyDescent="0.2">
      <c r="A436" s="2">
        <v>44362</v>
      </c>
      <c r="B436" s="3">
        <v>25746</v>
      </c>
      <c r="C436" s="3">
        <v>25830</v>
      </c>
      <c r="D436" s="3">
        <v>25855</v>
      </c>
      <c r="E436" s="3">
        <v>25640</v>
      </c>
      <c r="F436" s="3">
        <v>45530</v>
      </c>
      <c r="G436" s="7">
        <f t="shared" si="62"/>
        <v>0</v>
      </c>
      <c r="H436" s="5">
        <f t="shared" si="57"/>
        <v>-1.9416721680711428E-4</v>
      </c>
      <c r="I436" s="4">
        <f t="shared" si="58"/>
        <v>2.1338506304558681E-3</v>
      </c>
      <c r="J436" s="4">
        <f t="shared" si="59"/>
        <v>-5.7982218786238886E-4</v>
      </c>
      <c r="K436" s="4">
        <f t="shared" si="60"/>
        <v>-1.7519953280124587E-3</v>
      </c>
      <c r="L436" s="4">
        <f t="shared" si="61"/>
        <v>0.29567444507683549</v>
      </c>
      <c r="M436" s="3">
        <f t="shared" si="54"/>
        <v>6</v>
      </c>
      <c r="N436" s="3">
        <f t="shared" si="55"/>
        <v>15</v>
      </c>
      <c r="O436" s="3">
        <f t="shared" si="56"/>
        <v>2</v>
      </c>
    </row>
    <row r="437" spans="1:15" x14ac:dyDescent="0.2">
      <c r="A437" s="2">
        <v>44363</v>
      </c>
      <c r="B437" s="3">
        <v>25762</v>
      </c>
      <c r="C437" s="3">
        <v>25800</v>
      </c>
      <c r="D437" s="3">
        <v>25835</v>
      </c>
      <c r="E437" s="3">
        <v>25700</v>
      </c>
      <c r="F437" s="3">
        <v>23500</v>
      </c>
      <c r="G437" s="7">
        <f t="shared" si="62"/>
        <v>1</v>
      </c>
      <c r="H437" s="5">
        <f t="shared" si="57"/>
        <v>6.2145576011807659E-4</v>
      </c>
      <c r="I437" s="4">
        <f t="shared" si="58"/>
        <v>-1.1614401858304297E-3</v>
      </c>
      <c r="J437" s="4">
        <f t="shared" si="59"/>
        <v>-7.7354476890350026E-4</v>
      </c>
      <c r="K437" s="4">
        <f t="shared" si="60"/>
        <v>2.3400936037441498E-3</v>
      </c>
      <c r="L437" s="4">
        <f t="shared" si="61"/>
        <v>-0.48385679771579176</v>
      </c>
      <c r="M437" s="3">
        <f t="shared" si="54"/>
        <v>6</v>
      </c>
      <c r="N437" s="3">
        <f t="shared" si="55"/>
        <v>16</v>
      </c>
      <c r="O437" s="3">
        <f t="shared" si="56"/>
        <v>3</v>
      </c>
    </row>
    <row r="438" spans="1:15" x14ac:dyDescent="0.2">
      <c r="A438" s="2">
        <v>44364</v>
      </c>
      <c r="B438" s="3">
        <v>25721</v>
      </c>
      <c r="C438" s="3">
        <v>25710</v>
      </c>
      <c r="D438" s="3">
        <v>25835</v>
      </c>
      <c r="E438" s="3">
        <v>25615</v>
      </c>
      <c r="F438" s="3">
        <v>20290</v>
      </c>
      <c r="G438" s="7">
        <f t="shared" si="62"/>
        <v>0</v>
      </c>
      <c r="H438" s="5">
        <f t="shared" si="57"/>
        <v>-1.591491343839764E-3</v>
      </c>
      <c r="I438" s="4">
        <f t="shared" si="58"/>
        <v>-3.4883720930232558E-3</v>
      </c>
      <c r="J438" s="4">
        <f t="shared" si="59"/>
        <v>0</v>
      </c>
      <c r="K438" s="4">
        <f t="shared" si="60"/>
        <v>-3.3073929961089494E-3</v>
      </c>
      <c r="L438" s="4">
        <f t="shared" si="61"/>
        <v>-0.13659574468085106</v>
      </c>
      <c r="M438" s="3">
        <f t="shared" si="54"/>
        <v>6</v>
      </c>
      <c r="N438" s="3">
        <f t="shared" si="55"/>
        <v>17</v>
      </c>
      <c r="O438" s="3">
        <f t="shared" si="56"/>
        <v>4</v>
      </c>
    </row>
    <row r="439" spans="1:15" x14ac:dyDescent="0.2">
      <c r="A439" s="2">
        <v>44365</v>
      </c>
      <c r="B439" s="3">
        <v>25635</v>
      </c>
      <c r="C439" s="3">
        <v>25785</v>
      </c>
      <c r="D439" s="3">
        <v>25785</v>
      </c>
      <c r="E439" s="3">
        <v>25630</v>
      </c>
      <c r="F439" s="3">
        <v>100</v>
      </c>
      <c r="G439" s="7">
        <f t="shared" si="62"/>
        <v>0</v>
      </c>
      <c r="H439" s="5">
        <f t="shared" si="57"/>
        <v>-3.3435714008009021E-3</v>
      </c>
      <c r="I439" s="4">
        <f t="shared" si="58"/>
        <v>2.9171528588098016E-3</v>
      </c>
      <c r="J439" s="4">
        <f t="shared" si="59"/>
        <v>-1.9353590090961873E-3</v>
      </c>
      <c r="K439" s="4">
        <f t="shared" si="60"/>
        <v>5.8559437829396835E-4</v>
      </c>
      <c r="L439" s="4">
        <f t="shared" si="61"/>
        <v>-0.99507146377525879</v>
      </c>
      <c r="M439" s="3">
        <f t="shared" si="54"/>
        <v>6</v>
      </c>
      <c r="N439" s="3">
        <f t="shared" si="55"/>
        <v>18</v>
      </c>
      <c r="O439" s="3">
        <f t="shared" si="56"/>
        <v>5</v>
      </c>
    </row>
    <row r="440" spans="1:15" x14ac:dyDescent="0.2">
      <c r="A440" s="2">
        <v>44368</v>
      </c>
      <c r="B440" s="3">
        <v>25276</v>
      </c>
      <c r="C440" s="3">
        <v>24830</v>
      </c>
      <c r="D440" s="3">
        <v>25380</v>
      </c>
      <c r="E440" s="3">
        <v>24565</v>
      </c>
      <c r="F440" s="3">
        <v>21200</v>
      </c>
      <c r="G440" s="7">
        <f t="shared" si="62"/>
        <v>0</v>
      </c>
      <c r="H440" s="5">
        <f t="shared" si="57"/>
        <v>-1.400429100838697E-2</v>
      </c>
      <c r="I440" s="4">
        <f t="shared" si="58"/>
        <v>-3.7037037037037035E-2</v>
      </c>
      <c r="J440" s="4">
        <f t="shared" si="59"/>
        <v>-1.5706806282722512E-2</v>
      </c>
      <c r="K440" s="4">
        <f t="shared" si="60"/>
        <v>-4.1552867733125241E-2</v>
      </c>
      <c r="L440" s="4">
        <f t="shared" si="61"/>
        <v>211</v>
      </c>
      <c r="M440" s="3">
        <f t="shared" si="54"/>
        <v>6</v>
      </c>
      <c r="N440" s="3">
        <f t="shared" si="55"/>
        <v>21</v>
      </c>
      <c r="O440" s="3">
        <f t="shared" si="56"/>
        <v>1</v>
      </c>
    </row>
    <row r="441" spans="1:15" x14ac:dyDescent="0.2">
      <c r="A441" s="2">
        <v>44369</v>
      </c>
      <c r="B441" s="3">
        <v>25240</v>
      </c>
      <c r="C441" s="3">
        <v>25375</v>
      </c>
      <c r="D441" s="3">
        <v>25390</v>
      </c>
      <c r="E441" s="3">
        <v>25095</v>
      </c>
      <c r="F441" s="3">
        <v>13880</v>
      </c>
      <c r="G441" s="7">
        <f t="shared" si="62"/>
        <v>0</v>
      </c>
      <c r="H441" s="5">
        <f t="shared" si="57"/>
        <v>-1.424275993036873E-3</v>
      </c>
      <c r="I441" s="4">
        <f t="shared" si="58"/>
        <v>2.1949254933548126E-2</v>
      </c>
      <c r="J441" s="4">
        <f t="shared" si="59"/>
        <v>3.9401103230890468E-4</v>
      </c>
      <c r="K441" s="4">
        <f t="shared" si="60"/>
        <v>2.157541217178913E-2</v>
      </c>
      <c r="L441" s="4">
        <f t="shared" si="61"/>
        <v>-0.34528301886792451</v>
      </c>
      <c r="M441" s="3">
        <f t="shared" si="54"/>
        <v>6</v>
      </c>
      <c r="N441" s="3">
        <f t="shared" si="55"/>
        <v>22</v>
      </c>
      <c r="O441" s="3">
        <f t="shared" si="56"/>
        <v>2</v>
      </c>
    </row>
    <row r="442" spans="1:15" x14ac:dyDescent="0.2">
      <c r="A442" s="2">
        <v>44370</v>
      </c>
      <c r="B442" s="3">
        <v>24977</v>
      </c>
      <c r="C442" s="3">
        <v>25240</v>
      </c>
      <c r="D442" s="3">
        <v>25295</v>
      </c>
      <c r="E442" s="3">
        <v>24955</v>
      </c>
      <c r="F442" s="3">
        <v>12190</v>
      </c>
      <c r="G442" s="7">
        <f t="shared" si="62"/>
        <v>0</v>
      </c>
      <c r="H442" s="5">
        <f t="shared" si="57"/>
        <v>-1.0419968304278923E-2</v>
      </c>
      <c r="I442" s="4">
        <f t="shared" si="58"/>
        <v>-5.3201970443349754E-3</v>
      </c>
      <c r="J442" s="4">
        <f t="shared" si="59"/>
        <v>-3.7416305632138637E-3</v>
      </c>
      <c r="K442" s="4">
        <f t="shared" si="60"/>
        <v>-5.5788005578800556E-3</v>
      </c>
      <c r="L442" s="4">
        <f t="shared" si="61"/>
        <v>-0.12175792507204611</v>
      </c>
      <c r="M442" s="3">
        <f t="shared" si="54"/>
        <v>6</v>
      </c>
      <c r="N442" s="3">
        <f t="shared" si="55"/>
        <v>23</v>
      </c>
      <c r="O442" s="3">
        <f t="shared" si="56"/>
        <v>3</v>
      </c>
    </row>
    <row r="443" spans="1:15" x14ac:dyDescent="0.2">
      <c r="A443" s="2">
        <v>44371</v>
      </c>
      <c r="B443" s="3">
        <v>25311</v>
      </c>
      <c r="C443" s="3">
        <v>25030</v>
      </c>
      <c r="D443" s="3">
        <v>25370</v>
      </c>
      <c r="E443" s="3">
        <v>25005</v>
      </c>
      <c r="F443" s="3">
        <v>13700</v>
      </c>
      <c r="G443" s="7">
        <f t="shared" si="62"/>
        <v>1</v>
      </c>
      <c r="H443" s="5">
        <f t="shared" si="57"/>
        <v>1.3372302518316852E-2</v>
      </c>
      <c r="I443" s="4">
        <f t="shared" si="58"/>
        <v>-8.3201267828843101E-3</v>
      </c>
      <c r="J443" s="4">
        <f t="shared" si="59"/>
        <v>2.9650128483890096E-3</v>
      </c>
      <c r="K443" s="4">
        <f t="shared" si="60"/>
        <v>2.0036064916850332E-3</v>
      </c>
      <c r="L443" s="4">
        <f t="shared" si="61"/>
        <v>0.12387202625102543</v>
      </c>
      <c r="M443" s="3">
        <f t="shared" si="54"/>
        <v>6</v>
      </c>
      <c r="N443" s="3">
        <f t="shared" si="55"/>
        <v>24</v>
      </c>
      <c r="O443" s="3">
        <f t="shared" si="56"/>
        <v>4</v>
      </c>
    </row>
    <row r="444" spans="1:15" x14ac:dyDescent="0.2">
      <c r="A444" s="2">
        <v>44372</v>
      </c>
      <c r="B444" s="3">
        <v>25396</v>
      </c>
      <c r="C444" s="3">
        <v>25380</v>
      </c>
      <c r="D444" s="3">
        <v>25430</v>
      </c>
      <c r="E444" s="3">
        <v>25305</v>
      </c>
      <c r="F444" s="3">
        <v>9330</v>
      </c>
      <c r="G444" s="7">
        <f t="shared" si="62"/>
        <v>1</v>
      </c>
      <c r="H444" s="5">
        <f t="shared" si="57"/>
        <v>3.3582236972067481E-3</v>
      </c>
      <c r="I444" s="4">
        <f t="shared" si="58"/>
        <v>1.3983220135836995E-2</v>
      </c>
      <c r="J444" s="4">
        <f t="shared" si="59"/>
        <v>2.3649980291683089E-3</v>
      </c>
      <c r="K444" s="4">
        <f t="shared" si="60"/>
        <v>1.199760047990402E-2</v>
      </c>
      <c r="L444" s="4">
        <f t="shared" si="61"/>
        <v>-0.31897810218978101</v>
      </c>
      <c r="M444" s="3">
        <f t="shared" si="54"/>
        <v>6</v>
      </c>
      <c r="N444" s="3">
        <f t="shared" si="55"/>
        <v>25</v>
      </c>
      <c r="O444" s="3">
        <f t="shared" si="56"/>
        <v>5</v>
      </c>
    </row>
    <row r="445" spans="1:15" x14ac:dyDescent="0.2">
      <c r="A445" s="2">
        <v>44375</v>
      </c>
      <c r="B445" s="3">
        <v>25112</v>
      </c>
      <c r="C445" s="3">
        <v>25415</v>
      </c>
      <c r="D445" s="3">
        <v>25465</v>
      </c>
      <c r="E445" s="3">
        <v>25095</v>
      </c>
      <c r="F445" s="3">
        <v>13760</v>
      </c>
      <c r="G445" s="7">
        <f t="shared" si="62"/>
        <v>0</v>
      </c>
      <c r="H445" s="5">
        <f t="shared" si="57"/>
        <v>-1.1182863443061899E-2</v>
      </c>
      <c r="I445" s="4">
        <f t="shared" si="58"/>
        <v>1.3790386130811663E-3</v>
      </c>
      <c r="J445" s="4">
        <f t="shared" si="59"/>
        <v>1.3763271726307512E-3</v>
      </c>
      <c r="K445" s="4">
        <f t="shared" si="60"/>
        <v>-8.2987551867219917E-3</v>
      </c>
      <c r="L445" s="4">
        <f t="shared" si="61"/>
        <v>0.47481243301178994</v>
      </c>
      <c r="M445" s="3">
        <f t="shared" si="54"/>
        <v>6</v>
      </c>
      <c r="N445" s="3">
        <f t="shared" si="55"/>
        <v>28</v>
      </c>
      <c r="O445" s="3">
        <f t="shared" si="56"/>
        <v>1</v>
      </c>
    </row>
    <row r="446" spans="1:15" x14ac:dyDescent="0.2">
      <c r="A446" s="2">
        <v>44376</v>
      </c>
      <c r="B446" s="3">
        <v>25247</v>
      </c>
      <c r="C446" s="3">
        <v>25165</v>
      </c>
      <c r="D446" s="3">
        <v>25365</v>
      </c>
      <c r="E446" s="3">
        <v>25130</v>
      </c>
      <c r="F446" s="3">
        <v>10910</v>
      </c>
      <c r="G446" s="7">
        <f t="shared" si="62"/>
        <v>1</v>
      </c>
      <c r="H446" s="5">
        <f t="shared" si="57"/>
        <v>5.375915896782415E-3</v>
      </c>
      <c r="I446" s="4">
        <f t="shared" si="58"/>
        <v>-9.8367106039740308E-3</v>
      </c>
      <c r="J446" s="4">
        <f t="shared" si="59"/>
        <v>-3.9269585705870805E-3</v>
      </c>
      <c r="K446" s="4">
        <f t="shared" si="60"/>
        <v>1.3947001394700139E-3</v>
      </c>
      <c r="L446" s="4">
        <f t="shared" si="61"/>
        <v>-0.20712209302325582</v>
      </c>
      <c r="M446" s="3">
        <f t="shared" si="54"/>
        <v>6</v>
      </c>
      <c r="N446" s="3">
        <f t="shared" si="55"/>
        <v>29</v>
      </c>
      <c r="O446" s="3">
        <f t="shared" si="56"/>
        <v>2</v>
      </c>
    </row>
    <row r="447" spans="1:15" x14ac:dyDescent="0.2">
      <c r="A447" s="2">
        <v>44377</v>
      </c>
      <c r="B447" s="3">
        <v>25004</v>
      </c>
      <c r="C447" s="3">
        <v>25220</v>
      </c>
      <c r="D447" s="3">
        <v>25290</v>
      </c>
      <c r="E447" s="3">
        <v>24835</v>
      </c>
      <c r="F447" s="3">
        <v>19360</v>
      </c>
      <c r="G447" s="7">
        <f t="shared" si="62"/>
        <v>0</v>
      </c>
      <c r="H447" s="5">
        <f t="shared" si="57"/>
        <v>-9.6249059294173569E-3</v>
      </c>
      <c r="I447" s="4">
        <f t="shared" si="58"/>
        <v>2.1855752036558712E-3</v>
      </c>
      <c r="J447" s="4">
        <f t="shared" si="59"/>
        <v>-2.9568302779420462E-3</v>
      </c>
      <c r="K447" s="4">
        <f t="shared" si="60"/>
        <v>-1.1738957421408675E-2</v>
      </c>
      <c r="L447" s="4">
        <f t="shared" si="61"/>
        <v>0.77451879010082492</v>
      </c>
      <c r="M447" s="3">
        <f t="shared" si="54"/>
        <v>6</v>
      </c>
      <c r="N447" s="3">
        <f t="shared" si="55"/>
        <v>30</v>
      </c>
      <c r="O447" s="3">
        <f t="shared" si="56"/>
        <v>3</v>
      </c>
    </row>
    <row r="448" spans="1:15" x14ac:dyDescent="0.2">
      <c r="A448" s="2">
        <v>44378</v>
      </c>
      <c r="B448" s="3">
        <v>25154</v>
      </c>
      <c r="C448" s="3">
        <v>25100</v>
      </c>
      <c r="D448" s="3">
        <v>25295</v>
      </c>
      <c r="E448" s="3">
        <v>24925</v>
      </c>
      <c r="F448" s="3">
        <v>19350</v>
      </c>
      <c r="G448" s="7">
        <f t="shared" si="62"/>
        <v>1</v>
      </c>
      <c r="H448" s="5">
        <f t="shared" si="57"/>
        <v>5.9990401535754282E-3</v>
      </c>
      <c r="I448" s="4">
        <f t="shared" si="58"/>
        <v>-4.7581284694686752E-3</v>
      </c>
      <c r="J448" s="4">
        <f t="shared" si="59"/>
        <v>1.9770660340055358E-4</v>
      </c>
      <c r="K448" s="4">
        <f t="shared" si="60"/>
        <v>3.6239178578618887E-3</v>
      </c>
      <c r="L448" s="4">
        <f t="shared" si="61"/>
        <v>-5.1652892561983473E-4</v>
      </c>
      <c r="M448" s="3">
        <f t="shared" si="54"/>
        <v>7</v>
      </c>
      <c r="N448" s="3">
        <f t="shared" si="55"/>
        <v>1</v>
      </c>
      <c r="O448" s="3">
        <f t="shared" si="56"/>
        <v>4</v>
      </c>
    </row>
    <row r="449" spans="1:15" x14ac:dyDescent="0.2">
      <c r="A449" s="2">
        <v>44379</v>
      </c>
      <c r="B449" s="3">
        <v>25174</v>
      </c>
      <c r="C449" s="3">
        <v>25240</v>
      </c>
      <c r="D449" s="3">
        <v>25285</v>
      </c>
      <c r="E449" s="3">
        <v>25120</v>
      </c>
      <c r="F449" s="3">
        <v>12410</v>
      </c>
      <c r="G449" s="7">
        <f t="shared" si="62"/>
        <v>1</v>
      </c>
      <c r="H449" s="5">
        <f t="shared" si="57"/>
        <v>7.9510217062892582E-4</v>
      </c>
      <c r="I449" s="4">
        <f t="shared" si="58"/>
        <v>5.5776892430278889E-3</v>
      </c>
      <c r="J449" s="4">
        <f t="shared" si="59"/>
        <v>-3.9533504645186798E-4</v>
      </c>
      <c r="K449" s="4">
        <f t="shared" si="60"/>
        <v>7.8234704112337006E-3</v>
      </c>
      <c r="L449" s="4">
        <f t="shared" si="61"/>
        <v>-0.35865633074935399</v>
      </c>
      <c r="M449" s="3">
        <f t="shared" si="54"/>
        <v>7</v>
      </c>
      <c r="N449" s="3">
        <f t="shared" si="55"/>
        <v>2</v>
      </c>
      <c r="O449" s="3">
        <f t="shared" si="56"/>
        <v>5</v>
      </c>
    </row>
    <row r="450" spans="1:15" x14ac:dyDescent="0.2">
      <c r="A450" s="2">
        <v>44382</v>
      </c>
      <c r="B450" s="3">
        <v>25346</v>
      </c>
      <c r="C450" s="3">
        <v>25180</v>
      </c>
      <c r="D450" s="3">
        <v>25420</v>
      </c>
      <c r="E450" s="3">
        <v>25050</v>
      </c>
      <c r="F450" s="3">
        <v>10770</v>
      </c>
      <c r="G450" s="7">
        <f t="shared" si="62"/>
        <v>1</v>
      </c>
      <c r="H450" s="5">
        <f t="shared" si="57"/>
        <v>6.8324461746246123E-3</v>
      </c>
      <c r="I450" s="4">
        <f t="shared" si="58"/>
        <v>-2.3771790808240888E-3</v>
      </c>
      <c r="J450" s="4">
        <f t="shared" si="59"/>
        <v>5.3391338738382442E-3</v>
      </c>
      <c r="K450" s="4">
        <f t="shared" si="60"/>
        <v>-2.7866242038216559E-3</v>
      </c>
      <c r="L450" s="4">
        <f t="shared" si="61"/>
        <v>-0.13215149073327961</v>
      </c>
      <c r="M450" s="3">
        <f t="shared" ref="M450:M513" si="63">MONTH(A450)</f>
        <v>7</v>
      </c>
      <c r="N450" s="3">
        <f t="shared" ref="N450:N513" si="64">DAY(A450)</f>
        <v>5</v>
      </c>
      <c r="O450" s="3">
        <f t="shared" ref="O450:O513" si="65">WEEKDAY(A450,2)</f>
        <v>1</v>
      </c>
    </row>
    <row r="451" spans="1:15" x14ac:dyDescent="0.2">
      <c r="A451" s="2">
        <v>44383</v>
      </c>
      <c r="B451" s="3">
        <v>25097</v>
      </c>
      <c r="C451" s="3">
        <v>25345</v>
      </c>
      <c r="D451" s="3">
        <v>25345</v>
      </c>
      <c r="E451" s="3">
        <v>25050</v>
      </c>
      <c r="F451" s="3">
        <v>15240</v>
      </c>
      <c r="G451" s="7">
        <f t="shared" si="62"/>
        <v>0</v>
      </c>
      <c r="H451" s="5">
        <f t="shared" ref="H451:H514" si="66">(B451-B450)/B450</f>
        <v>-9.8240353507456791E-3</v>
      </c>
      <c r="I451" s="4">
        <f t="shared" ref="I451:I514" si="67">(C451-C450)/C450</f>
        <v>6.5528196981731535E-3</v>
      </c>
      <c r="J451" s="4">
        <f t="shared" ref="J451:J514" si="68">(D451-D450)/D450</f>
        <v>-2.9504327301337532E-3</v>
      </c>
      <c r="K451" s="4">
        <f t="shared" ref="K451:K514" si="69">(E451-E450)/E450</f>
        <v>0</v>
      </c>
      <c r="L451" s="4">
        <f t="shared" ref="L451:L514" si="70">(F451-F450)/F450</f>
        <v>0.41504178272980502</v>
      </c>
      <c r="M451" s="3">
        <f t="shared" si="63"/>
        <v>7</v>
      </c>
      <c r="N451" s="3">
        <f t="shared" si="64"/>
        <v>6</v>
      </c>
      <c r="O451" s="3">
        <f t="shared" si="65"/>
        <v>2</v>
      </c>
    </row>
    <row r="452" spans="1:15" x14ac:dyDescent="0.2">
      <c r="A452" s="2">
        <v>44384</v>
      </c>
      <c r="B452" s="3">
        <v>25172</v>
      </c>
      <c r="C452" s="3">
        <v>25145</v>
      </c>
      <c r="D452" s="3">
        <v>25330</v>
      </c>
      <c r="E452" s="3">
        <v>25055</v>
      </c>
      <c r="F452" s="3">
        <v>14870</v>
      </c>
      <c r="G452" s="7">
        <f t="shared" ref="G452:G515" si="71">IF(H452&lt;0, 0, 1)</f>
        <v>1</v>
      </c>
      <c r="H452" s="5">
        <f t="shared" si="66"/>
        <v>2.9884049886440612E-3</v>
      </c>
      <c r="I452" s="4">
        <f t="shared" si="67"/>
        <v>-7.8911027816137309E-3</v>
      </c>
      <c r="J452" s="4">
        <f t="shared" si="68"/>
        <v>-5.9183270862102984E-4</v>
      </c>
      <c r="K452" s="4">
        <f t="shared" si="69"/>
        <v>1.996007984031936E-4</v>
      </c>
      <c r="L452" s="4">
        <f t="shared" si="70"/>
        <v>-2.4278215223097113E-2</v>
      </c>
      <c r="M452" s="3">
        <f t="shared" si="63"/>
        <v>7</v>
      </c>
      <c r="N452" s="3">
        <f t="shared" si="64"/>
        <v>7</v>
      </c>
      <c r="O452" s="3">
        <f t="shared" si="65"/>
        <v>3</v>
      </c>
    </row>
    <row r="453" spans="1:15" x14ac:dyDescent="0.2">
      <c r="A453" s="2">
        <v>44385</v>
      </c>
      <c r="B453" s="3">
        <v>24515</v>
      </c>
      <c r="C453" s="3">
        <v>25115</v>
      </c>
      <c r="D453" s="3">
        <v>25145</v>
      </c>
      <c r="E453" s="3">
        <v>24345</v>
      </c>
      <c r="F453" s="3">
        <v>34850</v>
      </c>
      <c r="G453" s="7">
        <f t="shared" si="71"/>
        <v>0</v>
      </c>
      <c r="H453" s="5">
        <f t="shared" si="66"/>
        <v>-2.6100429048148736E-2</v>
      </c>
      <c r="I453" s="4">
        <f t="shared" si="67"/>
        <v>-1.1930801352157488E-3</v>
      </c>
      <c r="J453" s="4">
        <f t="shared" si="68"/>
        <v>-7.3035925779707861E-3</v>
      </c>
      <c r="K453" s="4">
        <f t="shared" si="69"/>
        <v>-2.8337657154260627E-2</v>
      </c>
      <c r="L453" s="4">
        <f t="shared" si="70"/>
        <v>1.34364492266308</v>
      </c>
      <c r="M453" s="3">
        <f t="shared" si="63"/>
        <v>7</v>
      </c>
      <c r="N453" s="3">
        <f t="shared" si="64"/>
        <v>8</v>
      </c>
      <c r="O453" s="3">
        <f t="shared" si="65"/>
        <v>4</v>
      </c>
    </row>
    <row r="454" spans="1:15" x14ac:dyDescent="0.2">
      <c r="A454" s="2">
        <v>44386</v>
      </c>
      <c r="B454" s="3">
        <v>24944</v>
      </c>
      <c r="C454" s="3">
        <v>24595</v>
      </c>
      <c r="D454" s="3">
        <v>25000</v>
      </c>
      <c r="E454" s="3">
        <v>24585</v>
      </c>
      <c r="F454" s="3">
        <v>22360</v>
      </c>
      <c r="G454" s="7">
        <f t="shared" si="71"/>
        <v>1</v>
      </c>
      <c r="H454" s="5">
        <f t="shared" si="66"/>
        <v>1.7499490108097083E-2</v>
      </c>
      <c r="I454" s="4">
        <f t="shared" si="67"/>
        <v>-2.0704758112681663E-2</v>
      </c>
      <c r="J454" s="4">
        <f t="shared" si="68"/>
        <v>-5.7665539868761188E-3</v>
      </c>
      <c r="K454" s="4">
        <f t="shared" si="69"/>
        <v>9.8582871226124465E-3</v>
      </c>
      <c r="L454" s="4">
        <f t="shared" si="70"/>
        <v>-0.35839311334289814</v>
      </c>
      <c r="M454" s="3">
        <f t="shared" si="63"/>
        <v>7</v>
      </c>
      <c r="N454" s="3">
        <f t="shared" si="64"/>
        <v>9</v>
      </c>
      <c r="O454" s="3">
        <f t="shared" si="65"/>
        <v>5</v>
      </c>
    </row>
    <row r="455" spans="1:15" x14ac:dyDescent="0.2">
      <c r="A455" s="2">
        <v>44389</v>
      </c>
      <c r="B455" s="3">
        <v>25191</v>
      </c>
      <c r="C455" s="3">
        <v>24950</v>
      </c>
      <c r="D455" s="3">
        <v>25265</v>
      </c>
      <c r="E455" s="3">
        <v>24865</v>
      </c>
      <c r="F455" s="3">
        <v>16000</v>
      </c>
      <c r="G455" s="7">
        <f t="shared" si="71"/>
        <v>1</v>
      </c>
      <c r="H455" s="5">
        <f t="shared" si="66"/>
        <v>9.902180885182809E-3</v>
      </c>
      <c r="I455" s="4">
        <f t="shared" si="67"/>
        <v>1.4433828013823948E-2</v>
      </c>
      <c r="J455" s="4">
        <f t="shared" si="68"/>
        <v>1.06E-2</v>
      </c>
      <c r="K455" s="4">
        <f t="shared" si="69"/>
        <v>1.138905836892414E-2</v>
      </c>
      <c r="L455" s="4">
        <f t="shared" si="70"/>
        <v>-0.2844364937388193</v>
      </c>
      <c r="M455" s="3">
        <f t="shared" si="63"/>
        <v>7</v>
      </c>
      <c r="N455" s="3">
        <f t="shared" si="64"/>
        <v>12</v>
      </c>
      <c r="O455" s="3">
        <f t="shared" si="65"/>
        <v>1</v>
      </c>
    </row>
    <row r="456" spans="1:15" x14ac:dyDescent="0.2">
      <c r="A456" s="2">
        <v>44390</v>
      </c>
      <c r="B456" s="3">
        <v>25048</v>
      </c>
      <c r="C456" s="3">
        <v>25220</v>
      </c>
      <c r="D456" s="3">
        <v>25250</v>
      </c>
      <c r="E456" s="3">
        <v>24975</v>
      </c>
      <c r="F456" s="3">
        <v>14610</v>
      </c>
      <c r="G456" s="7">
        <f t="shared" si="71"/>
        <v>0</v>
      </c>
      <c r="H456" s="5">
        <f t="shared" si="66"/>
        <v>-5.6766305426541224E-3</v>
      </c>
      <c r="I456" s="4">
        <f t="shared" si="67"/>
        <v>1.0821643286573146E-2</v>
      </c>
      <c r="J456" s="4">
        <f t="shared" si="68"/>
        <v>-5.9370670888581046E-4</v>
      </c>
      <c r="K456" s="4">
        <f t="shared" si="69"/>
        <v>4.4238890006032573E-3</v>
      </c>
      <c r="L456" s="4">
        <f t="shared" si="70"/>
        <v>-8.6874999999999994E-2</v>
      </c>
      <c r="M456" s="3">
        <f t="shared" si="63"/>
        <v>7</v>
      </c>
      <c r="N456" s="3">
        <f t="shared" si="64"/>
        <v>13</v>
      </c>
      <c r="O456" s="3">
        <f t="shared" si="65"/>
        <v>2</v>
      </c>
    </row>
    <row r="457" spans="1:15" x14ac:dyDescent="0.2">
      <c r="A457" s="2">
        <v>44391</v>
      </c>
      <c r="B457" s="3">
        <v>25110</v>
      </c>
      <c r="C457" s="3">
        <v>25015</v>
      </c>
      <c r="D457" s="3">
        <v>25215</v>
      </c>
      <c r="E457" s="3">
        <v>24985</v>
      </c>
      <c r="F457" s="3">
        <v>12320</v>
      </c>
      <c r="G457" s="7">
        <f t="shared" si="71"/>
        <v>1</v>
      </c>
      <c r="H457" s="5">
        <f t="shared" si="66"/>
        <v>2.4752475247524753E-3</v>
      </c>
      <c r="I457" s="4">
        <f t="shared" si="67"/>
        <v>-8.1284694686756549E-3</v>
      </c>
      <c r="J457" s="4">
        <f t="shared" si="68"/>
        <v>-1.3861386138613861E-3</v>
      </c>
      <c r="K457" s="4">
        <f t="shared" si="69"/>
        <v>4.0040040040040042E-4</v>
      </c>
      <c r="L457" s="4">
        <f t="shared" si="70"/>
        <v>-0.1567419575633128</v>
      </c>
      <c r="M457" s="3">
        <f t="shared" si="63"/>
        <v>7</v>
      </c>
      <c r="N457" s="3">
        <f t="shared" si="64"/>
        <v>14</v>
      </c>
      <c r="O457" s="3">
        <f t="shared" si="65"/>
        <v>3</v>
      </c>
    </row>
    <row r="458" spans="1:15" x14ac:dyDescent="0.2">
      <c r="A458" s="2">
        <v>44392</v>
      </c>
      <c r="B458" s="3">
        <v>24759</v>
      </c>
      <c r="C458" s="3">
        <v>25020</v>
      </c>
      <c r="D458" s="3">
        <v>25025</v>
      </c>
      <c r="E458" s="3">
        <v>24690</v>
      </c>
      <c r="F458" s="3">
        <v>18900</v>
      </c>
      <c r="G458" s="7">
        <f t="shared" si="71"/>
        <v>0</v>
      </c>
      <c r="H458" s="5">
        <f t="shared" si="66"/>
        <v>-1.3978494623655914E-2</v>
      </c>
      <c r="I458" s="4">
        <f t="shared" si="67"/>
        <v>1.998800719568259E-4</v>
      </c>
      <c r="J458" s="4">
        <f t="shared" si="68"/>
        <v>-7.5351973031925444E-3</v>
      </c>
      <c r="K458" s="4">
        <f t="shared" si="69"/>
        <v>-1.1807084250550329E-2</v>
      </c>
      <c r="L458" s="4">
        <f t="shared" si="70"/>
        <v>0.53409090909090906</v>
      </c>
      <c r="M458" s="3">
        <f t="shared" si="63"/>
        <v>7</v>
      </c>
      <c r="N458" s="3">
        <f t="shared" si="64"/>
        <v>15</v>
      </c>
      <c r="O458" s="3">
        <f t="shared" si="65"/>
        <v>4</v>
      </c>
    </row>
    <row r="459" spans="1:15" x14ac:dyDescent="0.2">
      <c r="A459" s="2">
        <v>44393</v>
      </c>
      <c r="B459" s="3">
        <v>24679</v>
      </c>
      <c r="C459" s="3">
        <v>24760</v>
      </c>
      <c r="D459" s="3">
        <v>24895</v>
      </c>
      <c r="E459" s="3">
        <v>24550</v>
      </c>
      <c r="F459" s="3">
        <v>17480</v>
      </c>
      <c r="G459" s="7">
        <f t="shared" si="71"/>
        <v>0</v>
      </c>
      <c r="H459" s="5">
        <f t="shared" si="66"/>
        <v>-3.2311482693162083E-3</v>
      </c>
      <c r="I459" s="4">
        <f t="shared" si="67"/>
        <v>-1.0391686650679457E-2</v>
      </c>
      <c r="J459" s="4">
        <f t="shared" si="68"/>
        <v>-5.1948051948051948E-3</v>
      </c>
      <c r="K459" s="4">
        <f t="shared" si="69"/>
        <v>-5.6703118671526933E-3</v>
      </c>
      <c r="L459" s="4">
        <f t="shared" si="70"/>
        <v>-7.5132275132275134E-2</v>
      </c>
      <c r="M459" s="3">
        <f t="shared" si="63"/>
        <v>7</v>
      </c>
      <c r="N459" s="3">
        <f t="shared" si="64"/>
        <v>16</v>
      </c>
      <c r="O459" s="3">
        <f t="shared" si="65"/>
        <v>5</v>
      </c>
    </row>
    <row r="460" spans="1:15" x14ac:dyDescent="0.2">
      <c r="A460" s="2">
        <v>44396</v>
      </c>
      <c r="B460" s="3">
        <v>23951</v>
      </c>
      <c r="C460" s="3">
        <v>24505</v>
      </c>
      <c r="D460" s="3">
        <v>24515</v>
      </c>
      <c r="E460" s="3">
        <v>23810</v>
      </c>
      <c r="F460" s="3">
        <v>29120</v>
      </c>
      <c r="G460" s="7">
        <f t="shared" si="71"/>
        <v>0</v>
      </c>
      <c r="H460" s="5">
        <f t="shared" si="66"/>
        <v>-2.949876413144779E-2</v>
      </c>
      <c r="I460" s="4">
        <f t="shared" si="67"/>
        <v>-1.029886914378029E-2</v>
      </c>
      <c r="J460" s="4">
        <f t="shared" si="68"/>
        <v>-1.5264109258887326E-2</v>
      </c>
      <c r="K460" s="4">
        <f t="shared" si="69"/>
        <v>-3.0142566191446028E-2</v>
      </c>
      <c r="L460" s="4">
        <f t="shared" si="70"/>
        <v>0.66590389016018303</v>
      </c>
      <c r="M460" s="3">
        <f t="shared" si="63"/>
        <v>7</v>
      </c>
      <c r="N460" s="3">
        <f t="shared" si="64"/>
        <v>19</v>
      </c>
      <c r="O460" s="3">
        <f t="shared" si="65"/>
        <v>1</v>
      </c>
    </row>
    <row r="461" spans="1:15" x14ac:dyDescent="0.2">
      <c r="A461" s="2">
        <v>44397</v>
      </c>
      <c r="B461" s="3">
        <v>24065</v>
      </c>
      <c r="C461" s="3">
        <v>24005</v>
      </c>
      <c r="D461" s="3">
        <v>24210</v>
      </c>
      <c r="E461" s="3">
        <v>23785</v>
      </c>
      <c r="F461" s="3">
        <v>22420</v>
      </c>
      <c r="G461" s="7">
        <f t="shared" si="71"/>
        <v>1</v>
      </c>
      <c r="H461" s="5">
        <f t="shared" si="66"/>
        <v>4.7597177570873868E-3</v>
      </c>
      <c r="I461" s="4">
        <f t="shared" si="67"/>
        <v>-2.0403999183840033E-2</v>
      </c>
      <c r="J461" s="4">
        <f t="shared" si="68"/>
        <v>-1.2441362431164593E-2</v>
      </c>
      <c r="K461" s="4">
        <f t="shared" si="69"/>
        <v>-1.0499790004199917E-3</v>
      </c>
      <c r="L461" s="4">
        <f t="shared" si="70"/>
        <v>-0.23008241758241757</v>
      </c>
      <c r="M461" s="3">
        <f t="shared" si="63"/>
        <v>7</v>
      </c>
      <c r="N461" s="3">
        <f t="shared" si="64"/>
        <v>20</v>
      </c>
      <c r="O461" s="3">
        <f t="shared" si="65"/>
        <v>2</v>
      </c>
    </row>
    <row r="462" spans="1:15" x14ac:dyDescent="0.2">
      <c r="A462" s="2">
        <v>44398</v>
      </c>
      <c r="B462" s="3">
        <v>24644</v>
      </c>
      <c r="C462" s="3">
        <v>24130</v>
      </c>
      <c r="D462" s="3">
        <v>24740</v>
      </c>
      <c r="E462" s="3">
        <v>24085</v>
      </c>
      <c r="F462" s="3">
        <v>20440</v>
      </c>
      <c r="G462" s="7">
        <f t="shared" si="71"/>
        <v>1</v>
      </c>
      <c r="H462" s="5">
        <f t="shared" si="66"/>
        <v>2.4059837938915439E-2</v>
      </c>
      <c r="I462" s="4">
        <f t="shared" si="67"/>
        <v>5.2072484898979376E-3</v>
      </c>
      <c r="J462" s="4">
        <f t="shared" si="68"/>
        <v>2.1891780256092525E-2</v>
      </c>
      <c r="K462" s="4">
        <f t="shared" si="69"/>
        <v>1.2612991381122556E-2</v>
      </c>
      <c r="L462" s="4">
        <f t="shared" si="70"/>
        <v>-8.8314005352363958E-2</v>
      </c>
      <c r="M462" s="3">
        <f t="shared" si="63"/>
        <v>7</v>
      </c>
      <c r="N462" s="3">
        <f t="shared" si="64"/>
        <v>21</v>
      </c>
      <c r="O462" s="3">
        <f t="shared" si="65"/>
        <v>3</v>
      </c>
    </row>
    <row r="463" spans="1:15" x14ac:dyDescent="0.2">
      <c r="A463" s="2">
        <v>44399</v>
      </c>
      <c r="B463" s="3">
        <v>24795</v>
      </c>
      <c r="C463" s="3">
        <v>24720</v>
      </c>
      <c r="D463" s="3">
        <v>24965</v>
      </c>
      <c r="E463" s="3">
        <v>24705</v>
      </c>
      <c r="F463" s="3">
        <v>15400</v>
      </c>
      <c r="G463" s="7">
        <f t="shared" si="71"/>
        <v>1</v>
      </c>
      <c r="H463" s="5">
        <f t="shared" si="66"/>
        <v>6.1272520694692417E-3</v>
      </c>
      <c r="I463" s="4">
        <f t="shared" si="67"/>
        <v>2.4450891007045172E-2</v>
      </c>
      <c r="J463" s="4">
        <f t="shared" si="68"/>
        <v>9.094583670169765E-3</v>
      </c>
      <c r="K463" s="4">
        <f t="shared" si="69"/>
        <v>2.5742163172098816E-2</v>
      </c>
      <c r="L463" s="4">
        <f t="shared" si="70"/>
        <v>-0.24657534246575341</v>
      </c>
      <c r="M463" s="3">
        <f t="shared" si="63"/>
        <v>7</v>
      </c>
      <c r="N463" s="3">
        <f t="shared" si="64"/>
        <v>22</v>
      </c>
      <c r="O463" s="3">
        <f t="shared" si="65"/>
        <v>4</v>
      </c>
    </row>
    <row r="464" spans="1:15" x14ac:dyDescent="0.2">
      <c r="A464" s="2">
        <v>44400</v>
      </c>
      <c r="B464" s="3">
        <v>25105</v>
      </c>
      <c r="C464" s="3">
        <v>24855</v>
      </c>
      <c r="D464" s="3">
        <v>25145</v>
      </c>
      <c r="E464" s="3">
        <v>24830</v>
      </c>
      <c r="F464" s="3">
        <v>11980</v>
      </c>
      <c r="G464" s="7">
        <f t="shared" si="71"/>
        <v>1</v>
      </c>
      <c r="H464" s="5">
        <f t="shared" si="66"/>
        <v>1.2502520669489817E-2</v>
      </c>
      <c r="I464" s="4">
        <f t="shared" si="67"/>
        <v>5.4611650485436895E-3</v>
      </c>
      <c r="J464" s="4">
        <f t="shared" si="68"/>
        <v>7.2100941317844985E-3</v>
      </c>
      <c r="K464" s="4">
        <f t="shared" si="69"/>
        <v>5.059704513256426E-3</v>
      </c>
      <c r="L464" s="4">
        <f t="shared" si="70"/>
        <v>-0.22207792207792207</v>
      </c>
      <c r="M464" s="3">
        <f t="shared" si="63"/>
        <v>7</v>
      </c>
      <c r="N464" s="3">
        <f t="shared" si="64"/>
        <v>23</v>
      </c>
      <c r="O464" s="3">
        <f t="shared" si="65"/>
        <v>5</v>
      </c>
    </row>
    <row r="465" spans="1:15" x14ac:dyDescent="0.2">
      <c r="A465" s="2">
        <v>44403</v>
      </c>
      <c r="B465" s="3">
        <v>25257</v>
      </c>
      <c r="C465" s="3">
        <v>25015</v>
      </c>
      <c r="D465" s="3">
        <v>25330</v>
      </c>
      <c r="E465" s="3">
        <v>24935</v>
      </c>
      <c r="F465" s="3">
        <v>14190</v>
      </c>
      <c r="G465" s="7">
        <f t="shared" si="71"/>
        <v>1</v>
      </c>
      <c r="H465" s="5">
        <f t="shared" si="66"/>
        <v>6.0545708026289585E-3</v>
      </c>
      <c r="I465" s="4">
        <f t="shared" si="67"/>
        <v>6.4373365520016095E-3</v>
      </c>
      <c r="J465" s="4">
        <f t="shared" si="68"/>
        <v>7.3573275004971172E-3</v>
      </c>
      <c r="K465" s="4">
        <f t="shared" si="69"/>
        <v>4.228755537656061E-3</v>
      </c>
      <c r="L465" s="4">
        <f t="shared" si="70"/>
        <v>0.18447412353923207</v>
      </c>
      <c r="M465" s="3">
        <f t="shared" si="63"/>
        <v>7</v>
      </c>
      <c r="N465" s="3">
        <f t="shared" si="64"/>
        <v>26</v>
      </c>
      <c r="O465" s="3">
        <f t="shared" si="65"/>
        <v>1</v>
      </c>
    </row>
    <row r="466" spans="1:15" x14ac:dyDescent="0.2">
      <c r="A466" s="2">
        <v>44404</v>
      </c>
      <c r="B466" s="3">
        <v>25049</v>
      </c>
      <c r="C466" s="3">
        <v>25255</v>
      </c>
      <c r="D466" s="3">
        <v>25265</v>
      </c>
      <c r="E466" s="3">
        <v>24970</v>
      </c>
      <c r="F466" s="3">
        <v>15150</v>
      </c>
      <c r="G466" s="7">
        <f t="shared" si="71"/>
        <v>0</v>
      </c>
      <c r="H466" s="5">
        <f t="shared" si="66"/>
        <v>-8.2353406976283794E-3</v>
      </c>
      <c r="I466" s="4">
        <f t="shared" si="67"/>
        <v>9.5942434539276426E-3</v>
      </c>
      <c r="J466" s="4">
        <f t="shared" si="68"/>
        <v>-2.5661271219897357E-3</v>
      </c>
      <c r="K466" s="4">
        <f t="shared" si="69"/>
        <v>1.4036494886705434E-3</v>
      </c>
      <c r="L466" s="4">
        <f t="shared" si="70"/>
        <v>6.765327695560254E-2</v>
      </c>
      <c r="M466" s="3">
        <f t="shared" si="63"/>
        <v>7</v>
      </c>
      <c r="N466" s="3">
        <f t="shared" si="64"/>
        <v>27</v>
      </c>
      <c r="O466" s="3">
        <f t="shared" si="65"/>
        <v>2</v>
      </c>
    </row>
    <row r="467" spans="1:15" x14ac:dyDescent="0.2">
      <c r="A467" s="2">
        <v>44405</v>
      </c>
      <c r="B467" s="3">
        <v>25237</v>
      </c>
      <c r="C467" s="3">
        <v>25085</v>
      </c>
      <c r="D467" s="3">
        <v>25275</v>
      </c>
      <c r="E467" s="3">
        <v>25030</v>
      </c>
      <c r="F467" s="3">
        <v>11140</v>
      </c>
      <c r="G467" s="7">
        <f t="shared" si="71"/>
        <v>1</v>
      </c>
      <c r="H467" s="5">
        <f t="shared" si="66"/>
        <v>7.5052896323206516E-3</v>
      </c>
      <c r="I467" s="4">
        <f t="shared" si="67"/>
        <v>-6.7313403286477927E-3</v>
      </c>
      <c r="J467" s="4">
        <f t="shared" si="68"/>
        <v>3.9580447259054025E-4</v>
      </c>
      <c r="K467" s="4">
        <f t="shared" si="69"/>
        <v>2.4028834601521826E-3</v>
      </c>
      <c r="L467" s="4">
        <f t="shared" si="70"/>
        <v>-0.26468646864686468</v>
      </c>
      <c r="M467" s="3">
        <f t="shared" si="63"/>
        <v>7</v>
      </c>
      <c r="N467" s="3">
        <f t="shared" si="64"/>
        <v>28</v>
      </c>
      <c r="O467" s="3">
        <f t="shared" si="65"/>
        <v>3</v>
      </c>
    </row>
    <row r="468" spans="1:15" x14ac:dyDescent="0.2">
      <c r="A468" s="2">
        <v>44406</v>
      </c>
      <c r="B468" s="3">
        <v>25490</v>
      </c>
      <c r="C468" s="3">
        <v>25225</v>
      </c>
      <c r="D468" s="3">
        <v>25520</v>
      </c>
      <c r="E468" s="3">
        <v>25225</v>
      </c>
      <c r="F468" s="3">
        <v>12940</v>
      </c>
      <c r="G468" s="7">
        <f t="shared" si="71"/>
        <v>1</v>
      </c>
      <c r="H468" s="5">
        <f t="shared" si="66"/>
        <v>1.0024963347466023E-2</v>
      </c>
      <c r="I468" s="4">
        <f t="shared" si="67"/>
        <v>5.5810245166434125E-3</v>
      </c>
      <c r="J468" s="4">
        <f t="shared" si="68"/>
        <v>9.693372898120672E-3</v>
      </c>
      <c r="K468" s="4">
        <f t="shared" si="69"/>
        <v>7.7906512185377547E-3</v>
      </c>
      <c r="L468" s="4">
        <f t="shared" si="70"/>
        <v>0.1615798922800718</v>
      </c>
      <c r="M468" s="3">
        <f t="shared" si="63"/>
        <v>7</v>
      </c>
      <c r="N468" s="3">
        <f t="shared" si="64"/>
        <v>29</v>
      </c>
      <c r="O468" s="3">
        <f t="shared" si="65"/>
        <v>4</v>
      </c>
    </row>
    <row r="469" spans="1:15" x14ac:dyDescent="0.2">
      <c r="A469" s="2">
        <v>44407</v>
      </c>
      <c r="B469" s="3">
        <v>25357</v>
      </c>
      <c r="C469" s="3">
        <v>25340</v>
      </c>
      <c r="D469" s="3">
        <v>25495</v>
      </c>
      <c r="E469" s="3">
        <v>25320</v>
      </c>
      <c r="F469" s="3">
        <v>13610</v>
      </c>
      <c r="G469" s="7">
        <f t="shared" si="71"/>
        <v>0</v>
      </c>
      <c r="H469" s="5">
        <f t="shared" si="66"/>
        <v>-5.2177324440957238E-3</v>
      </c>
      <c r="I469" s="4">
        <f t="shared" si="67"/>
        <v>4.5589692765113975E-3</v>
      </c>
      <c r="J469" s="4">
        <f t="shared" si="68"/>
        <v>-9.7962382445141057E-4</v>
      </c>
      <c r="K469" s="4">
        <f t="shared" si="69"/>
        <v>3.7661050545094153E-3</v>
      </c>
      <c r="L469" s="4">
        <f t="shared" si="70"/>
        <v>5.1777434312210199E-2</v>
      </c>
      <c r="M469" s="3">
        <f t="shared" si="63"/>
        <v>7</v>
      </c>
      <c r="N469" s="3">
        <f t="shared" si="64"/>
        <v>30</v>
      </c>
      <c r="O469" s="3">
        <f t="shared" si="65"/>
        <v>5</v>
      </c>
    </row>
    <row r="470" spans="1:15" x14ac:dyDescent="0.2">
      <c r="A470" s="2">
        <v>44410</v>
      </c>
      <c r="B470" s="3">
        <v>25343</v>
      </c>
      <c r="C470" s="3">
        <v>25470</v>
      </c>
      <c r="D470" s="3">
        <v>25670</v>
      </c>
      <c r="E470" s="3">
        <v>25200</v>
      </c>
      <c r="F470" s="3">
        <v>16390</v>
      </c>
      <c r="G470" s="7">
        <f t="shared" si="71"/>
        <v>0</v>
      </c>
      <c r="H470" s="5">
        <f t="shared" si="66"/>
        <v>-5.5211578656781169E-4</v>
      </c>
      <c r="I470" s="4">
        <f t="shared" si="67"/>
        <v>5.1302288871349641E-3</v>
      </c>
      <c r="J470" s="4">
        <f t="shared" si="68"/>
        <v>6.8640909982349476E-3</v>
      </c>
      <c r="K470" s="4">
        <f t="shared" si="69"/>
        <v>-4.7393364928909956E-3</v>
      </c>
      <c r="L470" s="4">
        <f t="shared" si="70"/>
        <v>0.20426157237325496</v>
      </c>
      <c r="M470" s="3">
        <f t="shared" si="63"/>
        <v>8</v>
      </c>
      <c r="N470" s="3">
        <f t="shared" si="64"/>
        <v>2</v>
      </c>
      <c r="O470" s="3">
        <f t="shared" si="65"/>
        <v>1</v>
      </c>
    </row>
    <row r="471" spans="1:15" x14ac:dyDescent="0.2">
      <c r="A471" s="2">
        <v>44411</v>
      </c>
      <c r="B471" s="3">
        <v>25335</v>
      </c>
      <c r="C471" s="3">
        <v>25320</v>
      </c>
      <c r="D471" s="3">
        <v>25460</v>
      </c>
      <c r="E471" s="3">
        <v>25255</v>
      </c>
      <c r="F471" s="3">
        <v>14210</v>
      </c>
      <c r="G471" s="7">
        <f t="shared" si="71"/>
        <v>0</v>
      </c>
      <c r="H471" s="5">
        <f t="shared" si="66"/>
        <v>-3.1566902103144853E-4</v>
      </c>
      <c r="I471" s="4">
        <f t="shared" si="67"/>
        <v>-5.8892815076560662E-3</v>
      </c>
      <c r="J471" s="4">
        <f t="shared" si="68"/>
        <v>-8.1807557460070127E-3</v>
      </c>
      <c r="K471" s="4">
        <f t="shared" si="69"/>
        <v>2.1825396825396826E-3</v>
      </c>
      <c r="L471" s="4">
        <f t="shared" si="70"/>
        <v>-0.13300793166564978</v>
      </c>
      <c r="M471" s="3">
        <f t="shared" si="63"/>
        <v>8</v>
      </c>
      <c r="N471" s="3">
        <f t="shared" si="64"/>
        <v>3</v>
      </c>
      <c r="O471" s="3">
        <f t="shared" si="65"/>
        <v>2</v>
      </c>
    </row>
    <row r="472" spans="1:15" x14ac:dyDescent="0.2">
      <c r="A472" s="2">
        <v>44412</v>
      </c>
      <c r="B472" s="3">
        <v>25467</v>
      </c>
      <c r="C472" s="3">
        <v>25430</v>
      </c>
      <c r="D472" s="3">
        <v>25535</v>
      </c>
      <c r="E472" s="3">
        <v>25330</v>
      </c>
      <c r="F472" s="3">
        <v>12310</v>
      </c>
      <c r="G472" s="7">
        <f t="shared" si="71"/>
        <v>1</v>
      </c>
      <c r="H472" s="5">
        <f t="shared" si="66"/>
        <v>5.2101835405565424E-3</v>
      </c>
      <c r="I472" s="4">
        <f t="shared" si="67"/>
        <v>4.344391785150079E-3</v>
      </c>
      <c r="J472" s="4">
        <f t="shared" si="68"/>
        <v>2.9457973291437548E-3</v>
      </c>
      <c r="K472" s="4">
        <f t="shared" si="69"/>
        <v>2.9697089685210851E-3</v>
      </c>
      <c r="L472" s="4">
        <f t="shared" si="70"/>
        <v>-0.13370865587614356</v>
      </c>
      <c r="M472" s="3">
        <f t="shared" si="63"/>
        <v>8</v>
      </c>
      <c r="N472" s="3">
        <f t="shared" si="64"/>
        <v>4</v>
      </c>
      <c r="O472" s="3">
        <f t="shared" si="65"/>
        <v>3</v>
      </c>
    </row>
    <row r="473" spans="1:15" x14ac:dyDescent="0.2">
      <c r="A473" s="2">
        <v>44413</v>
      </c>
      <c r="B473" s="3">
        <v>25649</v>
      </c>
      <c r="C473" s="3">
        <v>25465</v>
      </c>
      <c r="D473" s="3">
        <v>25660</v>
      </c>
      <c r="E473" s="3">
        <v>25420</v>
      </c>
      <c r="F473" s="3">
        <v>11070</v>
      </c>
      <c r="G473" s="7">
        <f t="shared" si="71"/>
        <v>1</v>
      </c>
      <c r="H473" s="5">
        <f t="shared" si="66"/>
        <v>7.1465033180193975E-3</v>
      </c>
      <c r="I473" s="4">
        <f t="shared" si="67"/>
        <v>1.3763271726307512E-3</v>
      </c>
      <c r="J473" s="4">
        <f t="shared" si="68"/>
        <v>4.895241824946152E-3</v>
      </c>
      <c r="K473" s="4">
        <f t="shared" si="69"/>
        <v>3.5530990919857876E-3</v>
      </c>
      <c r="L473" s="4">
        <f t="shared" si="70"/>
        <v>-0.10073111291632819</v>
      </c>
      <c r="M473" s="3">
        <f t="shared" si="63"/>
        <v>8</v>
      </c>
      <c r="N473" s="3">
        <f t="shared" si="64"/>
        <v>5</v>
      </c>
      <c r="O473" s="3">
        <f t="shared" si="65"/>
        <v>4</v>
      </c>
    </row>
    <row r="474" spans="1:15" x14ac:dyDescent="0.2">
      <c r="A474" s="2">
        <v>44414</v>
      </c>
      <c r="B474" s="3">
        <v>25986</v>
      </c>
      <c r="C474" s="3">
        <v>25660</v>
      </c>
      <c r="D474" s="3">
        <v>26045</v>
      </c>
      <c r="E474" s="3">
        <v>25625</v>
      </c>
      <c r="F474" s="3">
        <v>20750</v>
      </c>
      <c r="G474" s="7">
        <f t="shared" si="71"/>
        <v>1</v>
      </c>
      <c r="H474" s="5">
        <f t="shared" si="66"/>
        <v>1.3138913797808882E-2</v>
      </c>
      <c r="I474" s="4">
        <f t="shared" si="67"/>
        <v>7.6575692126448066E-3</v>
      </c>
      <c r="J474" s="4">
        <f t="shared" si="68"/>
        <v>1.5003897116134061E-2</v>
      </c>
      <c r="K474" s="4">
        <f t="shared" si="69"/>
        <v>8.0645161290322578E-3</v>
      </c>
      <c r="L474" s="4">
        <f t="shared" si="70"/>
        <v>0.87443541102077682</v>
      </c>
      <c r="M474" s="3">
        <f t="shared" si="63"/>
        <v>8</v>
      </c>
      <c r="N474" s="3">
        <f t="shared" si="64"/>
        <v>6</v>
      </c>
      <c r="O474" s="3">
        <f t="shared" si="65"/>
        <v>5</v>
      </c>
    </row>
    <row r="475" spans="1:15" x14ac:dyDescent="0.2">
      <c r="A475" s="2">
        <v>44417</v>
      </c>
      <c r="B475" s="3">
        <v>26139</v>
      </c>
      <c r="C475" s="3">
        <v>25915</v>
      </c>
      <c r="D475" s="3">
        <v>26155</v>
      </c>
      <c r="E475" s="3">
        <v>25915</v>
      </c>
      <c r="F475" s="3">
        <v>12260</v>
      </c>
      <c r="G475" s="7">
        <f t="shared" si="71"/>
        <v>1</v>
      </c>
      <c r="H475" s="5">
        <f t="shared" si="66"/>
        <v>5.8877857307781112E-3</v>
      </c>
      <c r="I475" s="4">
        <f t="shared" si="67"/>
        <v>9.9376461418550274E-3</v>
      </c>
      <c r="J475" s="4">
        <f t="shared" si="68"/>
        <v>4.2234593971971586E-3</v>
      </c>
      <c r="K475" s="4">
        <f t="shared" si="69"/>
        <v>1.1317073170731707E-2</v>
      </c>
      <c r="L475" s="4">
        <f t="shared" si="70"/>
        <v>-0.40915662650602408</v>
      </c>
      <c r="M475" s="3">
        <f t="shared" si="63"/>
        <v>8</v>
      </c>
      <c r="N475" s="3">
        <f t="shared" si="64"/>
        <v>9</v>
      </c>
      <c r="O475" s="3">
        <f t="shared" si="65"/>
        <v>1</v>
      </c>
    </row>
    <row r="476" spans="1:15" x14ac:dyDescent="0.2">
      <c r="A476" s="2">
        <v>44418</v>
      </c>
      <c r="B476" s="3">
        <v>26184</v>
      </c>
      <c r="C476" s="3">
        <v>26095</v>
      </c>
      <c r="D476" s="3">
        <v>26280</v>
      </c>
      <c r="E476" s="3">
        <v>26090</v>
      </c>
      <c r="F476" s="3">
        <v>11790</v>
      </c>
      <c r="G476" s="7">
        <f t="shared" si="71"/>
        <v>1</v>
      </c>
      <c r="H476" s="5">
        <f t="shared" si="66"/>
        <v>1.7215654768736371E-3</v>
      </c>
      <c r="I476" s="4">
        <f t="shared" si="67"/>
        <v>6.9457842948099559E-3</v>
      </c>
      <c r="J476" s="4">
        <f t="shared" si="68"/>
        <v>4.7792009176065766E-3</v>
      </c>
      <c r="K476" s="4">
        <f t="shared" si="69"/>
        <v>6.7528458421763455E-3</v>
      </c>
      <c r="L476" s="4">
        <f t="shared" si="70"/>
        <v>-3.8336052202283852E-2</v>
      </c>
      <c r="M476" s="3">
        <f t="shared" si="63"/>
        <v>8</v>
      </c>
      <c r="N476" s="3">
        <f t="shared" si="64"/>
        <v>10</v>
      </c>
      <c r="O476" s="3">
        <f t="shared" si="65"/>
        <v>2</v>
      </c>
    </row>
    <row r="477" spans="1:15" x14ac:dyDescent="0.2">
      <c r="A477" s="2">
        <v>44419</v>
      </c>
      <c r="B477" s="3">
        <v>26442</v>
      </c>
      <c r="C477" s="3">
        <v>26230</v>
      </c>
      <c r="D477" s="3">
        <v>26545</v>
      </c>
      <c r="E477" s="3">
        <v>26175</v>
      </c>
      <c r="F477" s="3">
        <v>14600</v>
      </c>
      <c r="G477" s="7">
        <f t="shared" si="71"/>
        <v>1</v>
      </c>
      <c r="H477" s="5">
        <f t="shared" si="66"/>
        <v>9.8533455545371223E-3</v>
      </c>
      <c r="I477" s="4">
        <f t="shared" si="67"/>
        <v>5.1734048668327266E-3</v>
      </c>
      <c r="J477" s="4">
        <f t="shared" si="68"/>
        <v>1.0083713850837138E-2</v>
      </c>
      <c r="K477" s="4">
        <f t="shared" si="69"/>
        <v>3.2579532387888078E-3</v>
      </c>
      <c r="L477" s="4">
        <f t="shared" si="70"/>
        <v>0.2383375742154368</v>
      </c>
      <c r="M477" s="3">
        <f t="shared" si="63"/>
        <v>8</v>
      </c>
      <c r="N477" s="3">
        <f t="shared" si="64"/>
        <v>11</v>
      </c>
      <c r="O477" s="3">
        <f t="shared" si="65"/>
        <v>3</v>
      </c>
    </row>
    <row r="478" spans="1:15" x14ac:dyDescent="0.2">
      <c r="A478" s="2">
        <v>44420</v>
      </c>
      <c r="B478" s="3">
        <v>26558</v>
      </c>
      <c r="C478" s="3">
        <v>26520</v>
      </c>
      <c r="D478" s="3">
        <v>26590</v>
      </c>
      <c r="E478" s="3">
        <v>26430</v>
      </c>
      <c r="F478" s="3">
        <v>11580</v>
      </c>
      <c r="G478" s="7">
        <f t="shared" si="71"/>
        <v>1</v>
      </c>
      <c r="H478" s="5">
        <f t="shared" si="66"/>
        <v>4.3869601391725282E-3</v>
      </c>
      <c r="I478" s="4">
        <f t="shared" si="67"/>
        <v>1.105604269919939E-2</v>
      </c>
      <c r="J478" s="4">
        <f t="shared" si="68"/>
        <v>1.6952345074401959E-3</v>
      </c>
      <c r="K478" s="4">
        <f t="shared" si="69"/>
        <v>9.7421203438395419E-3</v>
      </c>
      <c r="L478" s="4">
        <f t="shared" si="70"/>
        <v>-0.20684931506849316</v>
      </c>
      <c r="M478" s="3">
        <f t="shared" si="63"/>
        <v>8</v>
      </c>
      <c r="N478" s="3">
        <f t="shared" si="64"/>
        <v>12</v>
      </c>
      <c r="O478" s="3">
        <f t="shared" si="65"/>
        <v>4</v>
      </c>
    </row>
    <row r="479" spans="1:15" x14ac:dyDescent="0.2">
      <c r="A479" s="2">
        <v>44421</v>
      </c>
      <c r="B479" s="3">
        <v>26651</v>
      </c>
      <c r="C479" s="3">
        <v>26565</v>
      </c>
      <c r="D479" s="3">
        <v>26680</v>
      </c>
      <c r="E479" s="3">
        <v>26530</v>
      </c>
      <c r="F479" s="3">
        <v>11920</v>
      </c>
      <c r="G479" s="7">
        <f t="shared" si="71"/>
        <v>1</v>
      </c>
      <c r="H479" s="5">
        <f t="shared" si="66"/>
        <v>3.5017697115746669E-3</v>
      </c>
      <c r="I479" s="4">
        <f t="shared" si="67"/>
        <v>1.6968325791855204E-3</v>
      </c>
      <c r="J479" s="4">
        <f t="shared" si="68"/>
        <v>3.3847311019180142E-3</v>
      </c>
      <c r="K479" s="4">
        <f t="shared" si="69"/>
        <v>3.7835792659856224E-3</v>
      </c>
      <c r="L479" s="4">
        <f t="shared" si="70"/>
        <v>2.9360967184801381E-2</v>
      </c>
      <c r="M479" s="3">
        <f t="shared" si="63"/>
        <v>8</v>
      </c>
      <c r="N479" s="3">
        <f t="shared" si="64"/>
        <v>13</v>
      </c>
      <c r="O479" s="3">
        <f t="shared" si="65"/>
        <v>5</v>
      </c>
    </row>
    <row r="480" spans="1:15" x14ac:dyDescent="0.2">
      <c r="A480" s="2">
        <v>44424</v>
      </c>
      <c r="B480" s="3">
        <v>26442</v>
      </c>
      <c r="C480" s="3">
        <v>26515</v>
      </c>
      <c r="D480" s="3">
        <v>26605</v>
      </c>
      <c r="E480" s="3">
        <v>26380</v>
      </c>
      <c r="F480" s="3">
        <v>13890</v>
      </c>
      <c r="G480" s="7">
        <f t="shared" si="71"/>
        <v>0</v>
      </c>
      <c r="H480" s="5">
        <f t="shared" si="66"/>
        <v>-7.8421072380023271E-3</v>
      </c>
      <c r="I480" s="4">
        <f t="shared" si="67"/>
        <v>-1.8821757952192735E-3</v>
      </c>
      <c r="J480" s="4">
        <f t="shared" si="68"/>
        <v>-2.8110944527736134E-3</v>
      </c>
      <c r="K480" s="4">
        <f t="shared" si="69"/>
        <v>-5.6539766302299288E-3</v>
      </c>
      <c r="L480" s="4">
        <f t="shared" si="70"/>
        <v>0.16526845637583892</v>
      </c>
      <c r="M480" s="3">
        <f t="shared" si="63"/>
        <v>8</v>
      </c>
      <c r="N480" s="3">
        <f t="shared" si="64"/>
        <v>16</v>
      </c>
      <c r="O480" s="3">
        <f t="shared" si="65"/>
        <v>1</v>
      </c>
    </row>
    <row r="481" spans="1:15" x14ac:dyDescent="0.2">
      <c r="A481" s="2">
        <v>44425</v>
      </c>
      <c r="B481" s="3">
        <v>26216</v>
      </c>
      <c r="C481" s="3">
        <v>26425</v>
      </c>
      <c r="D481" s="3">
        <v>26425</v>
      </c>
      <c r="E481" s="3">
        <v>26040</v>
      </c>
      <c r="F481" s="3">
        <v>15080</v>
      </c>
      <c r="G481" s="7">
        <f t="shared" si="71"/>
        <v>0</v>
      </c>
      <c r="H481" s="5">
        <f t="shared" si="66"/>
        <v>-8.5470085470085479E-3</v>
      </c>
      <c r="I481" s="4">
        <f t="shared" si="67"/>
        <v>-3.3943051103149163E-3</v>
      </c>
      <c r="J481" s="4">
        <f t="shared" si="68"/>
        <v>-6.7656455553467398E-3</v>
      </c>
      <c r="K481" s="4">
        <f t="shared" si="69"/>
        <v>-1.2888551933282789E-2</v>
      </c>
      <c r="L481" s="4">
        <f t="shared" si="70"/>
        <v>8.5673146148308135E-2</v>
      </c>
      <c r="M481" s="3">
        <f t="shared" si="63"/>
        <v>8</v>
      </c>
      <c r="N481" s="3">
        <f t="shared" si="64"/>
        <v>17</v>
      </c>
      <c r="O481" s="3">
        <f t="shared" si="65"/>
        <v>2</v>
      </c>
    </row>
    <row r="482" spans="1:15" x14ac:dyDescent="0.2">
      <c r="A482" s="2">
        <v>44426</v>
      </c>
      <c r="B482" s="3">
        <v>26356</v>
      </c>
      <c r="C482" s="3">
        <v>26250</v>
      </c>
      <c r="D482" s="3">
        <v>26375</v>
      </c>
      <c r="E482" s="3">
        <v>26150</v>
      </c>
      <c r="F482" s="3">
        <v>14250</v>
      </c>
      <c r="G482" s="7">
        <f t="shared" si="71"/>
        <v>1</v>
      </c>
      <c r="H482" s="5">
        <f t="shared" si="66"/>
        <v>5.3402502288678669E-3</v>
      </c>
      <c r="I482" s="4">
        <f t="shared" si="67"/>
        <v>-6.6225165562913907E-3</v>
      </c>
      <c r="J482" s="4">
        <f t="shared" si="68"/>
        <v>-1.8921475875118259E-3</v>
      </c>
      <c r="K482" s="4">
        <f t="shared" si="69"/>
        <v>4.2242703533026116E-3</v>
      </c>
      <c r="L482" s="4">
        <f t="shared" si="70"/>
        <v>-5.5039787798408485E-2</v>
      </c>
      <c r="M482" s="3">
        <f t="shared" si="63"/>
        <v>8</v>
      </c>
      <c r="N482" s="3">
        <f t="shared" si="64"/>
        <v>18</v>
      </c>
      <c r="O482" s="3">
        <f t="shared" si="65"/>
        <v>3</v>
      </c>
    </row>
    <row r="483" spans="1:15" x14ac:dyDescent="0.2">
      <c r="A483" s="2">
        <v>44427</v>
      </c>
      <c r="B483" s="3">
        <v>25940</v>
      </c>
      <c r="C483" s="3">
        <v>26125</v>
      </c>
      <c r="D483" s="3">
        <v>26145</v>
      </c>
      <c r="E483" s="3">
        <v>25700</v>
      </c>
      <c r="F483" s="3">
        <v>24110</v>
      </c>
      <c r="G483" s="7">
        <f t="shared" si="71"/>
        <v>0</v>
      </c>
      <c r="H483" s="5">
        <f t="shared" si="66"/>
        <v>-1.5783882227955685E-2</v>
      </c>
      <c r="I483" s="4">
        <f t="shared" si="67"/>
        <v>-4.7619047619047623E-3</v>
      </c>
      <c r="J483" s="4">
        <f t="shared" si="68"/>
        <v>-8.7203791469194318E-3</v>
      </c>
      <c r="K483" s="4">
        <f t="shared" si="69"/>
        <v>-1.7208413001912046E-2</v>
      </c>
      <c r="L483" s="4">
        <f t="shared" si="70"/>
        <v>0.69192982456140351</v>
      </c>
      <c r="M483" s="3">
        <f t="shared" si="63"/>
        <v>8</v>
      </c>
      <c r="N483" s="3">
        <f t="shared" si="64"/>
        <v>19</v>
      </c>
      <c r="O483" s="3">
        <f t="shared" si="65"/>
        <v>4</v>
      </c>
    </row>
    <row r="484" spans="1:15" x14ac:dyDescent="0.2">
      <c r="A484" s="2">
        <v>44428</v>
      </c>
      <c r="B484" s="3">
        <v>25913</v>
      </c>
      <c r="C484" s="3">
        <v>25915</v>
      </c>
      <c r="D484" s="3">
        <v>25965</v>
      </c>
      <c r="E484" s="3">
        <v>25695</v>
      </c>
      <c r="F484" s="3">
        <v>13840</v>
      </c>
      <c r="G484" s="7">
        <f t="shared" si="71"/>
        <v>0</v>
      </c>
      <c r="H484" s="5">
        <f t="shared" si="66"/>
        <v>-1.0408635312259059E-3</v>
      </c>
      <c r="I484" s="4">
        <f t="shared" si="67"/>
        <v>-8.0382775119617229E-3</v>
      </c>
      <c r="J484" s="4">
        <f t="shared" si="68"/>
        <v>-6.8846815834767644E-3</v>
      </c>
      <c r="K484" s="4">
        <f t="shared" si="69"/>
        <v>-1.9455252918287939E-4</v>
      </c>
      <c r="L484" s="4">
        <f t="shared" si="70"/>
        <v>-0.4259643301534633</v>
      </c>
      <c r="M484" s="3">
        <f t="shared" si="63"/>
        <v>8</v>
      </c>
      <c r="N484" s="3">
        <f t="shared" si="64"/>
        <v>20</v>
      </c>
      <c r="O484" s="3">
        <f t="shared" si="65"/>
        <v>5</v>
      </c>
    </row>
    <row r="485" spans="1:15" x14ac:dyDescent="0.2">
      <c r="A485" s="2">
        <v>44431</v>
      </c>
      <c r="B485" s="3">
        <v>26043</v>
      </c>
      <c r="C485" s="3">
        <v>26105</v>
      </c>
      <c r="D485" s="3">
        <v>26165</v>
      </c>
      <c r="E485" s="3">
        <v>25925</v>
      </c>
      <c r="F485" s="3">
        <v>11540</v>
      </c>
      <c r="G485" s="7">
        <f t="shared" si="71"/>
        <v>1</v>
      </c>
      <c r="H485" s="5">
        <f t="shared" si="66"/>
        <v>5.0167869409176863E-3</v>
      </c>
      <c r="I485" s="4">
        <f t="shared" si="67"/>
        <v>7.331661200077175E-3</v>
      </c>
      <c r="J485" s="4">
        <f t="shared" si="68"/>
        <v>7.702676680146351E-3</v>
      </c>
      <c r="K485" s="4">
        <f t="shared" si="69"/>
        <v>8.9511578128040475E-3</v>
      </c>
      <c r="L485" s="4">
        <f t="shared" si="70"/>
        <v>-0.16618497109826588</v>
      </c>
      <c r="M485" s="3">
        <f t="shared" si="63"/>
        <v>8</v>
      </c>
      <c r="N485" s="3">
        <f t="shared" si="64"/>
        <v>23</v>
      </c>
      <c r="O485" s="3">
        <f t="shared" si="65"/>
        <v>1</v>
      </c>
    </row>
    <row r="486" spans="1:15" x14ac:dyDescent="0.2">
      <c r="A486" s="2">
        <v>44432</v>
      </c>
      <c r="B486" s="3">
        <v>26023</v>
      </c>
      <c r="C486" s="3">
        <v>26090</v>
      </c>
      <c r="D486" s="3">
        <v>26165</v>
      </c>
      <c r="E486" s="3">
        <v>25880</v>
      </c>
      <c r="F486" s="3">
        <v>11700</v>
      </c>
      <c r="G486" s="7">
        <f t="shared" si="71"/>
        <v>0</v>
      </c>
      <c r="H486" s="5">
        <f t="shared" si="66"/>
        <v>-7.6796068041316281E-4</v>
      </c>
      <c r="I486" s="4">
        <f t="shared" si="67"/>
        <v>-5.7460256655813061E-4</v>
      </c>
      <c r="J486" s="4">
        <f t="shared" si="68"/>
        <v>0</v>
      </c>
      <c r="K486" s="4">
        <f t="shared" si="69"/>
        <v>-1.7357762777242044E-3</v>
      </c>
      <c r="L486" s="4">
        <f t="shared" si="70"/>
        <v>1.3864818024263431E-2</v>
      </c>
      <c r="M486" s="3">
        <f t="shared" si="63"/>
        <v>8</v>
      </c>
      <c r="N486" s="3">
        <f t="shared" si="64"/>
        <v>24</v>
      </c>
      <c r="O486" s="3">
        <f t="shared" si="65"/>
        <v>2</v>
      </c>
    </row>
    <row r="487" spans="1:15" x14ac:dyDescent="0.2">
      <c r="A487" s="2">
        <v>44433</v>
      </c>
      <c r="B487" s="3">
        <v>26051</v>
      </c>
      <c r="C487" s="3">
        <v>26015</v>
      </c>
      <c r="D487" s="3">
        <v>26080</v>
      </c>
      <c r="E487" s="3">
        <v>25955</v>
      </c>
      <c r="F487" s="3">
        <v>8060.0000000000009</v>
      </c>
      <c r="G487" s="7">
        <f t="shared" si="71"/>
        <v>1</v>
      </c>
      <c r="H487" s="5">
        <f t="shared" si="66"/>
        <v>1.0759712561964417E-3</v>
      </c>
      <c r="I487" s="4">
        <f t="shared" si="67"/>
        <v>-2.874664622460713E-3</v>
      </c>
      <c r="J487" s="4">
        <f t="shared" si="68"/>
        <v>-3.2486145614370344E-3</v>
      </c>
      <c r="K487" s="4">
        <f t="shared" si="69"/>
        <v>2.8979907264296756E-3</v>
      </c>
      <c r="L487" s="4">
        <f t="shared" si="70"/>
        <v>-0.31111111111111106</v>
      </c>
      <c r="M487" s="3">
        <f t="shared" si="63"/>
        <v>8</v>
      </c>
      <c r="N487" s="3">
        <f t="shared" si="64"/>
        <v>25</v>
      </c>
      <c r="O487" s="3">
        <f t="shared" si="65"/>
        <v>3</v>
      </c>
    </row>
    <row r="488" spans="1:15" x14ac:dyDescent="0.2">
      <c r="A488" s="2">
        <v>44434</v>
      </c>
      <c r="B488" s="3">
        <v>25863</v>
      </c>
      <c r="C488" s="3">
        <v>26000</v>
      </c>
      <c r="D488" s="3">
        <v>26045</v>
      </c>
      <c r="E488" s="3">
        <v>25805</v>
      </c>
      <c r="F488" s="3">
        <v>12580</v>
      </c>
      <c r="G488" s="7">
        <f t="shared" si="71"/>
        <v>0</v>
      </c>
      <c r="H488" s="5">
        <f t="shared" si="66"/>
        <v>-7.2166135656980537E-3</v>
      </c>
      <c r="I488" s="4">
        <f t="shared" si="67"/>
        <v>-5.7659042859888531E-4</v>
      </c>
      <c r="J488" s="4">
        <f t="shared" si="68"/>
        <v>-1.3420245398773007E-3</v>
      </c>
      <c r="K488" s="4">
        <f t="shared" si="69"/>
        <v>-5.7792332883837413E-3</v>
      </c>
      <c r="L488" s="4">
        <f t="shared" si="70"/>
        <v>0.56079404466501226</v>
      </c>
      <c r="M488" s="3">
        <f t="shared" si="63"/>
        <v>8</v>
      </c>
      <c r="N488" s="3">
        <f t="shared" si="64"/>
        <v>26</v>
      </c>
      <c r="O488" s="3">
        <f t="shared" si="65"/>
        <v>4</v>
      </c>
    </row>
    <row r="489" spans="1:15" x14ac:dyDescent="0.2">
      <c r="A489" s="2">
        <v>44435</v>
      </c>
      <c r="B489" s="3">
        <v>25998</v>
      </c>
      <c r="C489" s="3">
        <v>25850</v>
      </c>
      <c r="D489" s="3">
        <v>26065</v>
      </c>
      <c r="E489" s="3">
        <v>25805</v>
      </c>
      <c r="F489" s="3">
        <v>11050</v>
      </c>
      <c r="G489" s="7">
        <f t="shared" si="71"/>
        <v>1</v>
      </c>
      <c r="H489" s="5">
        <f t="shared" si="66"/>
        <v>5.2198120867648764E-3</v>
      </c>
      <c r="I489" s="4">
        <f t="shared" si="67"/>
        <v>-5.7692307692307696E-3</v>
      </c>
      <c r="J489" s="4">
        <f t="shared" si="68"/>
        <v>7.6790170858130158E-4</v>
      </c>
      <c r="K489" s="4">
        <f t="shared" si="69"/>
        <v>0</v>
      </c>
      <c r="L489" s="4">
        <f t="shared" si="70"/>
        <v>-0.12162162162162163</v>
      </c>
      <c r="M489" s="3">
        <f t="shared" si="63"/>
        <v>8</v>
      </c>
      <c r="N489" s="3">
        <f t="shared" si="64"/>
        <v>27</v>
      </c>
      <c r="O489" s="3">
        <f t="shared" si="65"/>
        <v>5</v>
      </c>
    </row>
    <row r="490" spans="1:15" x14ac:dyDescent="0.2">
      <c r="A490" s="2">
        <v>44438</v>
      </c>
      <c r="B490" s="3">
        <v>26027</v>
      </c>
      <c r="C490" s="3">
        <v>26030</v>
      </c>
      <c r="D490" s="3">
        <v>26075</v>
      </c>
      <c r="E490" s="3">
        <v>25935</v>
      </c>
      <c r="F490" s="3">
        <v>5870</v>
      </c>
      <c r="G490" s="7">
        <f t="shared" si="71"/>
        <v>1</v>
      </c>
      <c r="H490" s="5">
        <f t="shared" si="66"/>
        <v>1.1154704208016001E-3</v>
      </c>
      <c r="I490" s="4">
        <f t="shared" si="67"/>
        <v>6.9632495164410058E-3</v>
      </c>
      <c r="J490" s="4">
        <f t="shared" si="68"/>
        <v>3.8365624400537121E-4</v>
      </c>
      <c r="K490" s="4">
        <f t="shared" si="69"/>
        <v>5.0377833753148613E-3</v>
      </c>
      <c r="L490" s="4">
        <f t="shared" si="70"/>
        <v>-0.46877828054298643</v>
      </c>
      <c r="M490" s="3">
        <f t="shared" si="63"/>
        <v>8</v>
      </c>
      <c r="N490" s="3">
        <f t="shared" si="64"/>
        <v>30</v>
      </c>
      <c r="O490" s="3">
        <f t="shared" si="65"/>
        <v>1</v>
      </c>
    </row>
    <row r="491" spans="1:15" x14ac:dyDescent="0.2">
      <c r="A491" s="2">
        <v>44439</v>
      </c>
      <c r="B491" s="3">
        <v>26010</v>
      </c>
      <c r="C491" s="3">
        <v>26070</v>
      </c>
      <c r="D491" s="3">
        <v>26200</v>
      </c>
      <c r="E491" s="3">
        <v>25890</v>
      </c>
      <c r="F491" s="3">
        <v>17220</v>
      </c>
      <c r="G491" s="7">
        <f t="shared" si="71"/>
        <v>0</v>
      </c>
      <c r="H491" s="5">
        <f t="shared" si="66"/>
        <v>-6.5316786414108428E-4</v>
      </c>
      <c r="I491" s="4">
        <f t="shared" si="67"/>
        <v>1.536688436419516E-3</v>
      </c>
      <c r="J491" s="4">
        <f t="shared" si="68"/>
        <v>4.7938638542665392E-3</v>
      </c>
      <c r="K491" s="4">
        <f t="shared" si="69"/>
        <v>-1.735106998264893E-3</v>
      </c>
      <c r="L491" s="4">
        <f t="shared" si="70"/>
        <v>1.9335604770017036</v>
      </c>
      <c r="M491" s="3">
        <f t="shared" si="63"/>
        <v>8</v>
      </c>
      <c r="N491" s="3">
        <f t="shared" si="64"/>
        <v>31</v>
      </c>
      <c r="O491" s="3">
        <f t="shared" si="65"/>
        <v>2</v>
      </c>
    </row>
    <row r="492" spans="1:15" x14ac:dyDescent="0.2">
      <c r="A492" s="2">
        <v>44440</v>
      </c>
      <c r="B492" s="3">
        <v>26169</v>
      </c>
      <c r="C492" s="3">
        <v>26125</v>
      </c>
      <c r="D492" s="3">
        <v>26395</v>
      </c>
      <c r="E492" s="3">
        <v>26085</v>
      </c>
      <c r="F492" s="3">
        <v>19630</v>
      </c>
      <c r="G492" s="7">
        <f t="shared" si="71"/>
        <v>1</v>
      </c>
      <c r="H492" s="5">
        <f t="shared" si="66"/>
        <v>6.1130334486735874E-3</v>
      </c>
      <c r="I492" s="4">
        <f t="shared" si="67"/>
        <v>2.1097046413502108E-3</v>
      </c>
      <c r="J492" s="4">
        <f t="shared" si="68"/>
        <v>7.4427480916030532E-3</v>
      </c>
      <c r="K492" s="4">
        <f t="shared" si="69"/>
        <v>7.5318655851680186E-3</v>
      </c>
      <c r="L492" s="4">
        <f t="shared" si="70"/>
        <v>0.13995354239256677</v>
      </c>
      <c r="M492" s="3">
        <f t="shared" si="63"/>
        <v>9</v>
      </c>
      <c r="N492" s="3">
        <f t="shared" si="64"/>
        <v>1</v>
      </c>
      <c r="O492" s="3">
        <f t="shared" si="65"/>
        <v>3</v>
      </c>
    </row>
    <row r="493" spans="1:15" x14ac:dyDescent="0.2">
      <c r="A493" s="2">
        <v>44441</v>
      </c>
      <c r="B493" s="3">
        <v>26236</v>
      </c>
      <c r="C493" s="3">
        <v>26155</v>
      </c>
      <c r="D493" s="3">
        <v>26255</v>
      </c>
      <c r="E493" s="3">
        <v>26120</v>
      </c>
      <c r="F493" s="3">
        <v>11070</v>
      </c>
      <c r="G493" s="7">
        <f t="shared" si="71"/>
        <v>1</v>
      </c>
      <c r="H493" s="5">
        <f t="shared" si="66"/>
        <v>2.560281248805839E-3</v>
      </c>
      <c r="I493" s="4">
        <f t="shared" si="67"/>
        <v>1.1483253588516747E-3</v>
      </c>
      <c r="J493" s="4">
        <f t="shared" si="68"/>
        <v>-5.3040348550861902E-3</v>
      </c>
      <c r="K493" s="4">
        <f t="shared" si="69"/>
        <v>1.3417672992141077E-3</v>
      </c>
      <c r="L493" s="4">
        <f t="shared" si="70"/>
        <v>-0.43606724401426389</v>
      </c>
      <c r="M493" s="3">
        <f t="shared" si="63"/>
        <v>9</v>
      </c>
      <c r="N493" s="3">
        <f t="shared" si="64"/>
        <v>2</v>
      </c>
      <c r="O493" s="3">
        <f t="shared" si="65"/>
        <v>4</v>
      </c>
    </row>
    <row r="494" spans="1:15" x14ac:dyDescent="0.2">
      <c r="A494" s="2">
        <v>44442</v>
      </c>
      <c r="B494" s="3">
        <v>26074</v>
      </c>
      <c r="C494" s="3">
        <v>26225</v>
      </c>
      <c r="D494" s="3">
        <v>26255</v>
      </c>
      <c r="E494" s="3">
        <v>25960</v>
      </c>
      <c r="F494" s="3">
        <v>14270</v>
      </c>
      <c r="G494" s="7">
        <f t="shared" si="71"/>
        <v>0</v>
      </c>
      <c r="H494" s="5">
        <f t="shared" si="66"/>
        <v>-6.1747217563652996E-3</v>
      </c>
      <c r="I494" s="4">
        <f t="shared" si="67"/>
        <v>2.6763525138596826E-3</v>
      </c>
      <c r="J494" s="4">
        <f t="shared" si="68"/>
        <v>0</v>
      </c>
      <c r="K494" s="4">
        <f t="shared" si="69"/>
        <v>-6.1255742725880554E-3</v>
      </c>
      <c r="L494" s="4">
        <f t="shared" si="70"/>
        <v>0.28906955736224027</v>
      </c>
      <c r="M494" s="3">
        <f t="shared" si="63"/>
        <v>9</v>
      </c>
      <c r="N494" s="3">
        <f t="shared" si="64"/>
        <v>3</v>
      </c>
      <c r="O494" s="3">
        <f t="shared" si="65"/>
        <v>5</v>
      </c>
    </row>
    <row r="495" spans="1:15" x14ac:dyDescent="0.2">
      <c r="A495" s="2">
        <v>44445</v>
      </c>
      <c r="B495" s="3">
        <v>26262</v>
      </c>
      <c r="C495" s="3">
        <v>26095</v>
      </c>
      <c r="D495" s="3">
        <v>26315</v>
      </c>
      <c r="E495" s="3">
        <v>26090</v>
      </c>
      <c r="F495" s="3">
        <v>9260</v>
      </c>
      <c r="G495" s="7">
        <f t="shared" si="71"/>
        <v>1</v>
      </c>
      <c r="H495" s="5">
        <f t="shared" si="66"/>
        <v>7.2102477563856715E-3</v>
      </c>
      <c r="I495" s="4">
        <f t="shared" si="67"/>
        <v>-4.9571020019065779E-3</v>
      </c>
      <c r="J495" s="4">
        <f t="shared" si="68"/>
        <v>2.2852789944772423E-3</v>
      </c>
      <c r="K495" s="4">
        <f t="shared" si="69"/>
        <v>5.007704160246533E-3</v>
      </c>
      <c r="L495" s="4">
        <f t="shared" si="70"/>
        <v>-0.3510861948142957</v>
      </c>
      <c r="M495" s="3">
        <f t="shared" si="63"/>
        <v>9</v>
      </c>
      <c r="N495" s="3">
        <f t="shared" si="64"/>
        <v>6</v>
      </c>
      <c r="O495" s="3">
        <f t="shared" si="65"/>
        <v>1</v>
      </c>
    </row>
    <row r="496" spans="1:15" x14ac:dyDescent="0.2">
      <c r="A496" s="2">
        <v>44446</v>
      </c>
      <c r="B496" s="3">
        <v>26071</v>
      </c>
      <c r="C496" s="3">
        <v>26290</v>
      </c>
      <c r="D496" s="3">
        <v>26300</v>
      </c>
      <c r="E496" s="3">
        <v>25965</v>
      </c>
      <c r="F496" s="3">
        <v>14690</v>
      </c>
      <c r="G496" s="7">
        <f t="shared" si="71"/>
        <v>0</v>
      </c>
      <c r="H496" s="5">
        <f t="shared" si="66"/>
        <v>-7.2728657375675885E-3</v>
      </c>
      <c r="I496" s="4">
        <f t="shared" si="67"/>
        <v>7.4726959187583824E-3</v>
      </c>
      <c r="J496" s="4">
        <f t="shared" si="68"/>
        <v>-5.7001710051301537E-4</v>
      </c>
      <c r="K496" s="4">
        <f t="shared" si="69"/>
        <v>-4.7911077041011881E-3</v>
      </c>
      <c r="L496" s="4">
        <f t="shared" si="70"/>
        <v>0.58639308855291572</v>
      </c>
      <c r="M496" s="3">
        <f t="shared" si="63"/>
        <v>9</v>
      </c>
      <c r="N496" s="3">
        <f t="shared" si="64"/>
        <v>7</v>
      </c>
      <c r="O496" s="3">
        <f t="shared" si="65"/>
        <v>2</v>
      </c>
    </row>
    <row r="497" spans="1:15" x14ac:dyDescent="0.2">
      <c r="A497" s="2">
        <v>44447</v>
      </c>
      <c r="B497" s="3">
        <v>25903</v>
      </c>
      <c r="C497" s="3">
        <v>26010</v>
      </c>
      <c r="D497" s="3">
        <v>26065</v>
      </c>
      <c r="E497" s="3">
        <v>25705</v>
      </c>
      <c r="F497" s="3">
        <v>21510</v>
      </c>
      <c r="G497" s="7">
        <f t="shared" si="71"/>
        <v>0</v>
      </c>
      <c r="H497" s="5">
        <f t="shared" si="66"/>
        <v>-6.4439415442445625E-3</v>
      </c>
      <c r="I497" s="4">
        <f t="shared" si="67"/>
        <v>-1.0650437428680106E-2</v>
      </c>
      <c r="J497" s="4">
        <f t="shared" si="68"/>
        <v>-8.9353612167300377E-3</v>
      </c>
      <c r="K497" s="4">
        <f t="shared" si="69"/>
        <v>-1.0013479684190255E-2</v>
      </c>
      <c r="L497" s="4">
        <f t="shared" si="70"/>
        <v>0.46426140231449964</v>
      </c>
      <c r="M497" s="3">
        <f t="shared" si="63"/>
        <v>9</v>
      </c>
      <c r="N497" s="3">
        <f t="shared" si="64"/>
        <v>8</v>
      </c>
      <c r="O497" s="3">
        <f t="shared" si="65"/>
        <v>3</v>
      </c>
    </row>
    <row r="498" spans="1:15" x14ac:dyDescent="0.2">
      <c r="A498" s="2">
        <v>44448</v>
      </c>
      <c r="B498" s="3">
        <v>25904</v>
      </c>
      <c r="C498" s="3">
        <v>25730</v>
      </c>
      <c r="D498" s="3">
        <v>26000</v>
      </c>
      <c r="E498" s="3">
        <v>25630</v>
      </c>
      <c r="F498" s="3">
        <v>21760</v>
      </c>
      <c r="G498" s="7">
        <f t="shared" si="71"/>
        <v>1</v>
      </c>
      <c r="H498" s="5">
        <f t="shared" si="66"/>
        <v>3.8605566922750261E-5</v>
      </c>
      <c r="I498" s="4">
        <f t="shared" si="67"/>
        <v>-1.0765090349865437E-2</v>
      </c>
      <c r="J498" s="4">
        <f t="shared" si="68"/>
        <v>-2.4937655860349127E-3</v>
      </c>
      <c r="K498" s="4">
        <f t="shared" si="69"/>
        <v>-2.9177202878817349E-3</v>
      </c>
      <c r="L498" s="4">
        <f t="shared" si="70"/>
        <v>1.1622501162250116E-2</v>
      </c>
      <c r="M498" s="3">
        <f t="shared" si="63"/>
        <v>9</v>
      </c>
      <c r="N498" s="3">
        <f t="shared" si="64"/>
        <v>9</v>
      </c>
      <c r="O498" s="3">
        <f t="shared" si="65"/>
        <v>4</v>
      </c>
    </row>
    <row r="499" spans="1:15" x14ac:dyDescent="0.2">
      <c r="A499" s="2">
        <v>44449</v>
      </c>
      <c r="B499" s="3">
        <v>25685</v>
      </c>
      <c r="C499" s="3">
        <v>25940</v>
      </c>
      <c r="D499" s="3">
        <v>25985</v>
      </c>
      <c r="E499" s="3">
        <v>25605</v>
      </c>
      <c r="F499" s="3">
        <v>17670</v>
      </c>
      <c r="G499" s="7">
        <f t="shared" si="71"/>
        <v>0</v>
      </c>
      <c r="H499" s="5">
        <f t="shared" si="66"/>
        <v>-8.4542927733168623E-3</v>
      </c>
      <c r="I499" s="4">
        <f t="shared" si="67"/>
        <v>8.1616789739603571E-3</v>
      </c>
      <c r="J499" s="4">
        <f t="shared" si="68"/>
        <v>-5.7692307692307698E-4</v>
      </c>
      <c r="K499" s="4">
        <f t="shared" si="69"/>
        <v>-9.7541943035505264E-4</v>
      </c>
      <c r="L499" s="4">
        <f t="shared" si="70"/>
        <v>-0.18795955882352941</v>
      </c>
      <c r="M499" s="3">
        <f t="shared" si="63"/>
        <v>9</v>
      </c>
      <c r="N499" s="3">
        <f t="shared" si="64"/>
        <v>10</v>
      </c>
      <c r="O499" s="3">
        <f t="shared" si="65"/>
        <v>5</v>
      </c>
    </row>
    <row r="500" spans="1:15" x14ac:dyDescent="0.2">
      <c r="A500" s="2">
        <v>44452</v>
      </c>
      <c r="B500" s="3">
        <v>25916</v>
      </c>
      <c r="C500" s="3">
        <v>25665</v>
      </c>
      <c r="D500" s="3">
        <v>26015</v>
      </c>
      <c r="E500" s="3">
        <v>25665</v>
      </c>
      <c r="F500" s="3">
        <v>38360</v>
      </c>
      <c r="G500" s="7">
        <f t="shared" si="71"/>
        <v>1</v>
      </c>
      <c r="H500" s="5">
        <f t="shared" si="66"/>
        <v>8.9935760171306212E-3</v>
      </c>
      <c r="I500" s="4">
        <f t="shared" si="67"/>
        <v>-1.0601387818041635E-2</v>
      </c>
      <c r="J500" s="4">
        <f t="shared" si="68"/>
        <v>1.1545122185876468E-3</v>
      </c>
      <c r="K500" s="4">
        <f t="shared" si="69"/>
        <v>2.3432923257176333E-3</v>
      </c>
      <c r="L500" s="4">
        <f t="shared" si="70"/>
        <v>1.1709111488398416</v>
      </c>
      <c r="M500" s="3">
        <f t="shared" si="63"/>
        <v>9</v>
      </c>
      <c r="N500" s="3">
        <f t="shared" si="64"/>
        <v>13</v>
      </c>
      <c r="O500" s="3">
        <f t="shared" si="65"/>
        <v>1</v>
      </c>
    </row>
    <row r="501" spans="1:15" x14ac:dyDescent="0.2">
      <c r="A501" s="2">
        <v>44453</v>
      </c>
      <c r="B501" s="3">
        <v>26032</v>
      </c>
      <c r="C501" s="3">
        <v>25980</v>
      </c>
      <c r="D501" s="3">
        <v>26135</v>
      </c>
      <c r="E501" s="3">
        <v>25875</v>
      </c>
      <c r="F501" s="3">
        <v>46990</v>
      </c>
      <c r="G501" s="7">
        <f t="shared" si="71"/>
        <v>1</v>
      </c>
      <c r="H501" s="5">
        <f t="shared" si="66"/>
        <v>4.4759993826207749E-3</v>
      </c>
      <c r="I501" s="4">
        <f t="shared" si="67"/>
        <v>1.2273524254821741E-2</v>
      </c>
      <c r="J501" s="4">
        <f t="shared" si="68"/>
        <v>4.6127234287910825E-3</v>
      </c>
      <c r="K501" s="4">
        <f t="shared" si="69"/>
        <v>8.1823495032144946E-3</v>
      </c>
      <c r="L501" s="4">
        <f t="shared" si="70"/>
        <v>0.22497393117831074</v>
      </c>
      <c r="M501" s="3">
        <f t="shared" si="63"/>
        <v>9</v>
      </c>
      <c r="N501" s="3">
        <f t="shared" si="64"/>
        <v>14</v>
      </c>
      <c r="O501" s="3">
        <f t="shared" si="65"/>
        <v>2</v>
      </c>
    </row>
    <row r="502" spans="1:15" x14ac:dyDescent="0.2">
      <c r="A502" s="2">
        <v>44454</v>
      </c>
      <c r="B502" s="3">
        <v>25774</v>
      </c>
      <c r="C502" s="3">
        <v>26015</v>
      </c>
      <c r="D502" s="3">
        <v>26060</v>
      </c>
      <c r="E502" s="3">
        <v>25685</v>
      </c>
      <c r="F502" s="3">
        <v>36050</v>
      </c>
      <c r="G502" s="7">
        <f t="shared" si="71"/>
        <v>0</v>
      </c>
      <c r="H502" s="5">
        <f t="shared" si="66"/>
        <v>-9.9108789182544565E-3</v>
      </c>
      <c r="I502" s="4">
        <f t="shared" si="67"/>
        <v>1.3471901462663587E-3</v>
      </c>
      <c r="J502" s="4">
        <f t="shared" si="68"/>
        <v>-2.8697149416491295E-3</v>
      </c>
      <c r="K502" s="4">
        <f t="shared" si="69"/>
        <v>-7.3429951690821256E-3</v>
      </c>
      <c r="L502" s="4">
        <f t="shared" si="70"/>
        <v>-0.23281549265801235</v>
      </c>
      <c r="M502" s="3">
        <f t="shared" si="63"/>
        <v>9</v>
      </c>
      <c r="N502" s="3">
        <f t="shared" si="64"/>
        <v>15</v>
      </c>
      <c r="O502" s="3">
        <f t="shared" si="65"/>
        <v>3</v>
      </c>
    </row>
    <row r="503" spans="1:15" x14ac:dyDescent="0.2">
      <c r="A503" s="2">
        <v>44455</v>
      </c>
      <c r="B503" s="3">
        <v>25994</v>
      </c>
      <c r="C503" s="3">
        <v>25855</v>
      </c>
      <c r="D503" s="3">
        <v>26110</v>
      </c>
      <c r="E503" s="3">
        <v>25855</v>
      </c>
      <c r="F503" s="3">
        <v>19550</v>
      </c>
      <c r="G503" s="7">
        <f t="shared" si="71"/>
        <v>1</v>
      </c>
      <c r="H503" s="5">
        <f t="shared" si="66"/>
        <v>8.5357336851090253E-3</v>
      </c>
      <c r="I503" s="4">
        <f t="shared" si="67"/>
        <v>-6.1502979050547758E-3</v>
      </c>
      <c r="J503" s="4">
        <f t="shared" si="68"/>
        <v>1.918649270913277E-3</v>
      </c>
      <c r="K503" s="4">
        <f t="shared" si="69"/>
        <v>6.6186490169359551E-3</v>
      </c>
      <c r="L503" s="4">
        <f t="shared" si="70"/>
        <v>-0.4576976421636616</v>
      </c>
      <c r="M503" s="3">
        <f t="shared" si="63"/>
        <v>9</v>
      </c>
      <c r="N503" s="3">
        <f t="shared" si="64"/>
        <v>16</v>
      </c>
      <c r="O503" s="3">
        <f t="shared" si="65"/>
        <v>4</v>
      </c>
    </row>
    <row r="504" spans="1:15" x14ac:dyDescent="0.2">
      <c r="A504" s="2">
        <v>44456</v>
      </c>
      <c r="B504" s="3">
        <v>26103</v>
      </c>
      <c r="C504" s="3">
        <v>26130</v>
      </c>
      <c r="D504" s="3">
        <v>26200</v>
      </c>
      <c r="E504" s="3">
        <v>26065</v>
      </c>
      <c r="F504" s="3">
        <v>150</v>
      </c>
      <c r="G504" s="7">
        <f t="shared" si="71"/>
        <v>1</v>
      </c>
      <c r="H504" s="5">
        <f t="shared" si="66"/>
        <v>4.1932753712395172E-3</v>
      </c>
      <c r="I504" s="4">
        <f t="shared" si="67"/>
        <v>1.063624057242313E-2</v>
      </c>
      <c r="J504" s="4">
        <f t="shared" si="68"/>
        <v>3.4469551895825352E-3</v>
      </c>
      <c r="K504" s="4">
        <f t="shared" si="69"/>
        <v>8.1222200734867526E-3</v>
      </c>
      <c r="L504" s="4">
        <f t="shared" si="70"/>
        <v>-0.99232736572890023</v>
      </c>
      <c r="M504" s="3">
        <f t="shared" si="63"/>
        <v>9</v>
      </c>
      <c r="N504" s="3">
        <f t="shared" si="64"/>
        <v>17</v>
      </c>
      <c r="O504" s="3">
        <f t="shared" si="65"/>
        <v>5</v>
      </c>
    </row>
    <row r="505" spans="1:15" x14ac:dyDescent="0.2">
      <c r="A505" s="2">
        <v>44459</v>
      </c>
      <c r="B505" s="3">
        <v>24745</v>
      </c>
      <c r="C505" s="3">
        <v>25175</v>
      </c>
      <c r="D505" s="3">
        <v>25175</v>
      </c>
      <c r="E505" s="3">
        <v>24525</v>
      </c>
      <c r="F505" s="3">
        <v>28120</v>
      </c>
      <c r="G505" s="7">
        <f t="shared" si="71"/>
        <v>0</v>
      </c>
      <c r="H505" s="5">
        <f t="shared" si="66"/>
        <v>-5.2024671493698042E-2</v>
      </c>
      <c r="I505" s="4">
        <f t="shared" si="67"/>
        <v>-3.654802908534252E-2</v>
      </c>
      <c r="J505" s="4">
        <f t="shared" si="68"/>
        <v>-3.9122137404580155E-2</v>
      </c>
      <c r="K505" s="4">
        <f t="shared" si="69"/>
        <v>-5.9083061576827162E-2</v>
      </c>
      <c r="L505" s="4">
        <f t="shared" si="70"/>
        <v>186.46666666666667</v>
      </c>
      <c r="M505" s="3">
        <f t="shared" si="63"/>
        <v>9</v>
      </c>
      <c r="N505" s="3">
        <f t="shared" si="64"/>
        <v>20</v>
      </c>
      <c r="O505" s="3">
        <f t="shared" si="65"/>
        <v>1</v>
      </c>
    </row>
    <row r="506" spans="1:15" x14ac:dyDescent="0.2">
      <c r="A506" s="2">
        <v>44460</v>
      </c>
      <c r="B506" s="3">
        <v>25035</v>
      </c>
      <c r="C506" s="3">
        <v>24795</v>
      </c>
      <c r="D506" s="3">
        <v>25130</v>
      </c>
      <c r="E506" s="3">
        <v>24795</v>
      </c>
      <c r="F506" s="3">
        <v>22510</v>
      </c>
      <c r="G506" s="7">
        <f t="shared" si="71"/>
        <v>1</v>
      </c>
      <c r="H506" s="5">
        <f t="shared" si="66"/>
        <v>1.1719539300868862E-2</v>
      </c>
      <c r="I506" s="4">
        <f t="shared" si="67"/>
        <v>-1.509433962264151E-2</v>
      </c>
      <c r="J506" s="4">
        <f t="shared" si="68"/>
        <v>-1.7874875868917578E-3</v>
      </c>
      <c r="K506" s="4">
        <f t="shared" si="69"/>
        <v>1.1009174311926606E-2</v>
      </c>
      <c r="L506" s="4">
        <f t="shared" si="70"/>
        <v>-0.19950213371266004</v>
      </c>
      <c r="M506" s="3">
        <f t="shared" si="63"/>
        <v>9</v>
      </c>
      <c r="N506" s="3">
        <f t="shared" si="64"/>
        <v>21</v>
      </c>
      <c r="O506" s="3">
        <f t="shared" si="65"/>
        <v>2</v>
      </c>
    </row>
    <row r="507" spans="1:15" x14ac:dyDescent="0.2">
      <c r="A507" s="2">
        <v>44461</v>
      </c>
      <c r="B507" s="3">
        <v>25393</v>
      </c>
      <c r="C507" s="3">
        <v>25135</v>
      </c>
      <c r="D507" s="3">
        <v>25495</v>
      </c>
      <c r="E507" s="3">
        <v>25115</v>
      </c>
      <c r="F507" s="3">
        <v>18080</v>
      </c>
      <c r="G507" s="7">
        <f t="shared" si="71"/>
        <v>1</v>
      </c>
      <c r="H507" s="5">
        <f t="shared" si="66"/>
        <v>1.4299980027960854E-2</v>
      </c>
      <c r="I507" s="4">
        <f t="shared" si="67"/>
        <v>1.3712442024601734E-2</v>
      </c>
      <c r="J507" s="4">
        <f t="shared" si="68"/>
        <v>1.4524472741742936E-2</v>
      </c>
      <c r="K507" s="4">
        <f t="shared" si="69"/>
        <v>1.2905827787860456E-2</v>
      </c>
      <c r="L507" s="4">
        <f t="shared" si="70"/>
        <v>-0.19680142159040426</v>
      </c>
      <c r="M507" s="3">
        <f t="shared" si="63"/>
        <v>9</v>
      </c>
      <c r="N507" s="3">
        <f t="shared" si="64"/>
        <v>22</v>
      </c>
      <c r="O507" s="3">
        <f t="shared" si="65"/>
        <v>3</v>
      </c>
    </row>
    <row r="508" spans="1:15" x14ac:dyDescent="0.2">
      <c r="A508" s="2">
        <v>44462</v>
      </c>
      <c r="B508" s="3">
        <v>25778</v>
      </c>
      <c r="C508" s="3">
        <v>25525</v>
      </c>
      <c r="D508" s="3">
        <v>25825</v>
      </c>
      <c r="E508" s="3">
        <v>25490</v>
      </c>
      <c r="F508" s="3">
        <v>18450</v>
      </c>
      <c r="G508" s="7">
        <f t="shared" si="71"/>
        <v>1</v>
      </c>
      <c r="H508" s="5">
        <f t="shared" si="66"/>
        <v>1.516165872484543E-2</v>
      </c>
      <c r="I508" s="4">
        <f t="shared" si="67"/>
        <v>1.5516212452755123E-2</v>
      </c>
      <c r="J508" s="4">
        <f t="shared" si="68"/>
        <v>1.2943714453814474E-2</v>
      </c>
      <c r="K508" s="4">
        <f t="shared" si="69"/>
        <v>1.4931315946645431E-2</v>
      </c>
      <c r="L508" s="4">
        <f t="shared" si="70"/>
        <v>2.0464601769911505E-2</v>
      </c>
      <c r="M508" s="3">
        <f t="shared" si="63"/>
        <v>9</v>
      </c>
      <c r="N508" s="3">
        <f t="shared" si="64"/>
        <v>23</v>
      </c>
      <c r="O508" s="3">
        <f t="shared" si="65"/>
        <v>4</v>
      </c>
    </row>
    <row r="509" spans="1:15" x14ac:dyDescent="0.2">
      <c r="A509" s="2">
        <v>44463</v>
      </c>
      <c r="B509" s="3">
        <v>25676</v>
      </c>
      <c r="C509" s="3">
        <v>25785</v>
      </c>
      <c r="D509" s="3">
        <v>25800</v>
      </c>
      <c r="E509" s="3">
        <v>25610</v>
      </c>
      <c r="F509" s="3">
        <v>12860</v>
      </c>
      <c r="G509" s="7">
        <f t="shared" si="71"/>
        <v>0</v>
      </c>
      <c r="H509" s="5">
        <f t="shared" si="66"/>
        <v>-3.9568624408410271E-3</v>
      </c>
      <c r="I509" s="4">
        <f t="shared" si="67"/>
        <v>1.0186092066601371E-2</v>
      </c>
      <c r="J509" s="4">
        <f t="shared" si="68"/>
        <v>-9.6805421103581804E-4</v>
      </c>
      <c r="K509" s="4">
        <f t="shared" si="69"/>
        <v>4.7077285209886233E-3</v>
      </c>
      <c r="L509" s="4">
        <f t="shared" si="70"/>
        <v>-0.30298102981029812</v>
      </c>
      <c r="M509" s="3">
        <f t="shared" si="63"/>
        <v>9</v>
      </c>
      <c r="N509" s="3">
        <f t="shared" si="64"/>
        <v>24</v>
      </c>
      <c r="O509" s="3">
        <f t="shared" si="65"/>
        <v>5</v>
      </c>
    </row>
    <row r="510" spans="1:15" x14ac:dyDescent="0.2">
      <c r="A510" s="2">
        <v>44466</v>
      </c>
      <c r="B510" s="3">
        <v>25837</v>
      </c>
      <c r="C510" s="3">
        <v>25870</v>
      </c>
      <c r="D510" s="3">
        <v>25920</v>
      </c>
      <c r="E510" s="3">
        <v>25705</v>
      </c>
      <c r="F510" s="3">
        <v>12590</v>
      </c>
      <c r="G510" s="7">
        <f t="shared" si="71"/>
        <v>1</v>
      </c>
      <c r="H510" s="5">
        <f t="shared" si="66"/>
        <v>6.2704471101417665E-3</v>
      </c>
      <c r="I510" s="4">
        <f t="shared" si="67"/>
        <v>3.2964902074849719E-3</v>
      </c>
      <c r="J510" s="4">
        <f t="shared" si="68"/>
        <v>4.6511627906976744E-3</v>
      </c>
      <c r="K510" s="4">
        <f t="shared" si="69"/>
        <v>3.7094884810620851E-3</v>
      </c>
      <c r="L510" s="4">
        <f t="shared" si="70"/>
        <v>-2.0995334370139968E-2</v>
      </c>
      <c r="M510" s="3">
        <f t="shared" si="63"/>
        <v>9</v>
      </c>
      <c r="N510" s="3">
        <f t="shared" si="64"/>
        <v>27</v>
      </c>
      <c r="O510" s="3">
        <f t="shared" si="65"/>
        <v>1</v>
      </c>
    </row>
    <row r="511" spans="1:15" x14ac:dyDescent="0.2">
      <c r="A511" s="2">
        <v>44467</v>
      </c>
      <c r="B511" s="3">
        <v>25291</v>
      </c>
      <c r="C511" s="3">
        <v>25890</v>
      </c>
      <c r="D511" s="3">
        <v>25930</v>
      </c>
      <c r="E511" s="3">
        <v>25220</v>
      </c>
      <c r="F511" s="3">
        <v>22120</v>
      </c>
      <c r="G511" s="7">
        <f t="shared" si="71"/>
        <v>0</v>
      </c>
      <c r="H511" s="5">
        <f t="shared" si="66"/>
        <v>-2.113248442156597E-2</v>
      </c>
      <c r="I511" s="4">
        <f t="shared" si="67"/>
        <v>7.7309625048318511E-4</v>
      </c>
      <c r="J511" s="4">
        <f t="shared" si="68"/>
        <v>3.8580246913580245E-4</v>
      </c>
      <c r="K511" s="4">
        <f t="shared" si="69"/>
        <v>-1.8867924528301886E-2</v>
      </c>
      <c r="L511" s="4">
        <f t="shared" si="70"/>
        <v>0.75694996028594119</v>
      </c>
      <c r="M511" s="3">
        <f t="shared" si="63"/>
        <v>9</v>
      </c>
      <c r="N511" s="3">
        <f t="shared" si="64"/>
        <v>28</v>
      </c>
      <c r="O511" s="3">
        <f t="shared" si="65"/>
        <v>2</v>
      </c>
    </row>
    <row r="512" spans="1:15" x14ac:dyDescent="0.2">
      <c r="A512" s="2">
        <v>44468</v>
      </c>
      <c r="B512" s="3">
        <v>25425</v>
      </c>
      <c r="C512" s="3">
        <v>25395</v>
      </c>
      <c r="D512" s="3">
        <v>25530</v>
      </c>
      <c r="E512" s="3">
        <v>25270</v>
      </c>
      <c r="F512" s="3">
        <v>14940</v>
      </c>
      <c r="G512" s="7">
        <f t="shared" si="71"/>
        <v>1</v>
      </c>
      <c r="H512" s="5">
        <f t="shared" si="66"/>
        <v>5.2983274682693446E-3</v>
      </c>
      <c r="I512" s="4">
        <f t="shared" si="67"/>
        <v>-1.9119351100811123E-2</v>
      </c>
      <c r="J512" s="4">
        <f t="shared" si="68"/>
        <v>-1.5426147319706903E-2</v>
      </c>
      <c r="K512" s="4">
        <f t="shared" si="69"/>
        <v>1.9825535289452814E-3</v>
      </c>
      <c r="L512" s="4">
        <f t="shared" si="70"/>
        <v>-0.32459312839059673</v>
      </c>
      <c r="M512" s="3">
        <f t="shared" si="63"/>
        <v>9</v>
      </c>
      <c r="N512" s="3">
        <f t="shared" si="64"/>
        <v>29</v>
      </c>
      <c r="O512" s="3">
        <f t="shared" si="65"/>
        <v>3</v>
      </c>
    </row>
    <row r="513" spans="1:15" x14ac:dyDescent="0.2">
      <c r="A513" s="2">
        <v>44469</v>
      </c>
      <c r="B513" s="3">
        <v>25373</v>
      </c>
      <c r="C513" s="3">
        <v>25530</v>
      </c>
      <c r="D513" s="3">
        <v>25640</v>
      </c>
      <c r="E513" s="3">
        <v>25255</v>
      </c>
      <c r="F513" s="3">
        <v>18990</v>
      </c>
      <c r="G513" s="7">
        <f t="shared" si="71"/>
        <v>0</v>
      </c>
      <c r="H513" s="5">
        <f t="shared" si="66"/>
        <v>-2.0452310717797443E-3</v>
      </c>
      <c r="I513" s="4">
        <f t="shared" si="67"/>
        <v>5.3160070880094506E-3</v>
      </c>
      <c r="J513" s="4">
        <f t="shared" si="68"/>
        <v>4.3086564825695261E-3</v>
      </c>
      <c r="K513" s="4">
        <f t="shared" si="69"/>
        <v>-5.9358923624851603E-4</v>
      </c>
      <c r="L513" s="4">
        <f t="shared" si="70"/>
        <v>0.27108433734939757</v>
      </c>
      <c r="M513" s="3">
        <f t="shared" si="63"/>
        <v>9</v>
      </c>
      <c r="N513" s="3">
        <f t="shared" si="64"/>
        <v>30</v>
      </c>
      <c r="O513" s="3">
        <f t="shared" si="65"/>
        <v>4</v>
      </c>
    </row>
    <row r="514" spans="1:15" x14ac:dyDescent="0.2">
      <c r="A514" s="2">
        <v>44470</v>
      </c>
      <c r="B514" s="3">
        <v>25295</v>
      </c>
      <c r="C514" s="3">
        <v>25140</v>
      </c>
      <c r="D514" s="3">
        <v>25500</v>
      </c>
      <c r="E514" s="3">
        <v>24970</v>
      </c>
      <c r="F514" s="3">
        <v>21760</v>
      </c>
      <c r="G514" s="7">
        <f t="shared" si="71"/>
        <v>0</v>
      </c>
      <c r="H514" s="5">
        <f t="shared" si="66"/>
        <v>-3.0741339218854687E-3</v>
      </c>
      <c r="I514" s="4">
        <f t="shared" si="67"/>
        <v>-1.5276145710928319E-2</v>
      </c>
      <c r="J514" s="4">
        <f t="shared" si="68"/>
        <v>-5.4602184087363496E-3</v>
      </c>
      <c r="K514" s="4">
        <f t="shared" si="69"/>
        <v>-1.1284894080380123E-2</v>
      </c>
      <c r="L514" s="4">
        <f t="shared" si="70"/>
        <v>0.14586624539231174</v>
      </c>
      <c r="M514" s="3">
        <f t="shared" ref="M514:M577" si="72">MONTH(A514)</f>
        <v>10</v>
      </c>
      <c r="N514" s="3">
        <f t="shared" ref="N514:N577" si="73">DAY(A514)</f>
        <v>1</v>
      </c>
      <c r="O514" s="3">
        <f t="shared" ref="O514:O577" si="74">WEEKDAY(A514,2)</f>
        <v>5</v>
      </c>
    </row>
    <row r="515" spans="1:15" x14ac:dyDescent="0.2">
      <c r="A515" s="2">
        <v>44473</v>
      </c>
      <c r="B515" s="3">
        <v>25163</v>
      </c>
      <c r="C515" s="3">
        <v>25320</v>
      </c>
      <c r="D515" s="3">
        <v>25430</v>
      </c>
      <c r="E515" s="3">
        <v>25105</v>
      </c>
      <c r="F515" s="3">
        <v>18410</v>
      </c>
      <c r="G515" s="7">
        <f t="shared" si="71"/>
        <v>0</v>
      </c>
      <c r="H515" s="5">
        <f t="shared" ref="H515:H578" si="75">(B515-B514)/B514</f>
        <v>-5.2184226131646574E-3</v>
      </c>
      <c r="I515" s="4">
        <f t="shared" ref="I515:I578" si="76">(C515-C514)/C514</f>
        <v>7.1599045346062056E-3</v>
      </c>
      <c r="J515" s="4">
        <f t="shared" ref="J515:J578" si="77">(D515-D514)/D514</f>
        <v>-2.7450980392156863E-3</v>
      </c>
      <c r="K515" s="4">
        <f t="shared" ref="K515:K578" si="78">(E515-E514)/E514</f>
        <v>5.4064877853424106E-3</v>
      </c>
      <c r="L515" s="4">
        <f t="shared" ref="L515:L578" si="79">(F515-F514)/F514</f>
        <v>-0.15395220588235295</v>
      </c>
      <c r="M515" s="3">
        <f t="shared" si="72"/>
        <v>10</v>
      </c>
      <c r="N515" s="3">
        <f t="shared" si="73"/>
        <v>4</v>
      </c>
      <c r="O515" s="3">
        <f t="shared" si="74"/>
        <v>1</v>
      </c>
    </row>
    <row r="516" spans="1:15" x14ac:dyDescent="0.2">
      <c r="A516" s="2">
        <v>44474</v>
      </c>
      <c r="B516" s="3">
        <v>25638</v>
      </c>
      <c r="C516" s="3">
        <v>25245</v>
      </c>
      <c r="D516" s="3">
        <v>25665</v>
      </c>
      <c r="E516" s="3">
        <v>25160</v>
      </c>
      <c r="F516" s="3">
        <v>18820</v>
      </c>
      <c r="G516" s="7">
        <f t="shared" ref="G516:G579" si="80">IF(H516&lt;0, 0, 1)</f>
        <v>1</v>
      </c>
      <c r="H516" s="5">
        <f t="shared" si="75"/>
        <v>1.8876922465524779E-2</v>
      </c>
      <c r="I516" s="4">
        <f t="shared" si="76"/>
        <v>-2.9620853080568718E-3</v>
      </c>
      <c r="J516" s="4">
        <f t="shared" si="77"/>
        <v>9.2410538733779003E-3</v>
      </c>
      <c r="K516" s="4">
        <f t="shared" si="78"/>
        <v>2.1907986456881101E-3</v>
      </c>
      <c r="L516" s="4">
        <f t="shared" si="79"/>
        <v>2.2270505160239002E-2</v>
      </c>
      <c r="M516" s="3">
        <f t="shared" si="72"/>
        <v>10</v>
      </c>
      <c r="N516" s="3">
        <f t="shared" si="73"/>
        <v>5</v>
      </c>
      <c r="O516" s="3">
        <f t="shared" si="74"/>
        <v>2</v>
      </c>
    </row>
    <row r="517" spans="1:15" x14ac:dyDescent="0.2">
      <c r="A517" s="2">
        <v>44475</v>
      </c>
      <c r="B517" s="3">
        <v>25326</v>
      </c>
      <c r="C517" s="3">
        <v>25490</v>
      </c>
      <c r="D517" s="3">
        <v>25535</v>
      </c>
      <c r="E517" s="3">
        <v>25020</v>
      </c>
      <c r="F517" s="3">
        <v>26800</v>
      </c>
      <c r="G517" s="7">
        <f t="shared" si="80"/>
        <v>0</v>
      </c>
      <c r="H517" s="5">
        <f t="shared" si="75"/>
        <v>-1.2169435993447227E-2</v>
      </c>
      <c r="I517" s="4">
        <f t="shared" si="76"/>
        <v>9.7048920578332344E-3</v>
      </c>
      <c r="J517" s="4">
        <f t="shared" si="77"/>
        <v>-5.0652639781804017E-3</v>
      </c>
      <c r="K517" s="4">
        <f t="shared" si="78"/>
        <v>-5.5643879173290934E-3</v>
      </c>
      <c r="L517" s="4">
        <f t="shared" si="79"/>
        <v>0.42401700318809776</v>
      </c>
      <c r="M517" s="3">
        <f t="shared" si="72"/>
        <v>10</v>
      </c>
      <c r="N517" s="3">
        <f t="shared" si="73"/>
        <v>6</v>
      </c>
      <c r="O517" s="3">
        <f t="shared" si="74"/>
        <v>3</v>
      </c>
    </row>
    <row r="518" spans="1:15" x14ac:dyDescent="0.2">
      <c r="A518" s="2">
        <v>44476</v>
      </c>
      <c r="B518" s="3">
        <v>25708</v>
      </c>
      <c r="C518" s="3">
        <v>25585</v>
      </c>
      <c r="D518" s="3">
        <v>25760</v>
      </c>
      <c r="E518" s="3">
        <v>25460</v>
      </c>
      <c r="F518" s="3">
        <v>17180</v>
      </c>
      <c r="G518" s="7">
        <f t="shared" si="80"/>
        <v>1</v>
      </c>
      <c r="H518" s="5">
        <f t="shared" si="75"/>
        <v>1.5083313590776278E-2</v>
      </c>
      <c r="I518" s="4">
        <f t="shared" si="76"/>
        <v>3.7269517457826601E-3</v>
      </c>
      <c r="J518" s="4">
        <f t="shared" si="77"/>
        <v>8.8114352849030745E-3</v>
      </c>
      <c r="K518" s="4">
        <f t="shared" si="78"/>
        <v>1.7585931254996003E-2</v>
      </c>
      <c r="L518" s="4">
        <f t="shared" si="79"/>
        <v>-0.35895522388059703</v>
      </c>
      <c r="M518" s="3">
        <f t="shared" si="72"/>
        <v>10</v>
      </c>
      <c r="N518" s="3">
        <f t="shared" si="73"/>
        <v>7</v>
      </c>
      <c r="O518" s="3">
        <f t="shared" si="74"/>
        <v>4</v>
      </c>
    </row>
    <row r="519" spans="1:15" x14ac:dyDescent="0.2">
      <c r="A519" s="2">
        <v>44477</v>
      </c>
      <c r="B519" s="3">
        <v>25767</v>
      </c>
      <c r="C519" s="3">
        <v>25680</v>
      </c>
      <c r="D519" s="3">
        <v>25805</v>
      </c>
      <c r="E519" s="3">
        <v>25640</v>
      </c>
      <c r="F519" s="3">
        <v>13750</v>
      </c>
      <c r="G519" s="7">
        <f t="shared" si="80"/>
        <v>1</v>
      </c>
      <c r="H519" s="5">
        <f t="shared" si="75"/>
        <v>2.295005445775634E-3</v>
      </c>
      <c r="I519" s="4">
        <f t="shared" si="76"/>
        <v>3.7131131522376393E-3</v>
      </c>
      <c r="J519" s="4">
        <f t="shared" si="77"/>
        <v>1.7468944099378882E-3</v>
      </c>
      <c r="K519" s="4">
        <f t="shared" si="78"/>
        <v>7.0699135899450118E-3</v>
      </c>
      <c r="L519" s="4">
        <f t="shared" si="79"/>
        <v>-0.19965075669383003</v>
      </c>
      <c r="M519" s="3">
        <f t="shared" si="72"/>
        <v>10</v>
      </c>
      <c r="N519" s="3">
        <f t="shared" si="73"/>
        <v>8</v>
      </c>
      <c r="O519" s="3">
        <f t="shared" si="74"/>
        <v>5</v>
      </c>
    </row>
    <row r="520" spans="1:15" x14ac:dyDescent="0.2">
      <c r="A520" s="2">
        <v>44480</v>
      </c>
      <c r="B520" s="3">
        <v>25618</v>
      </c>
      <c r="C520" s="3">
        <v>25805</v>
      </c>
      <c r="D520" s="3">
        <v>25855</v>
      </c>
      <c r="E520" s="3">
        <v>25490</v>
      </c>
      <c r="F520" s="3">
        <v>14070</v>
      </c>
      <c r="G520" s="7">
        <f t="shared" si="80"/>
        <v>0</v>
      </c>
      <c r="H520" s="5">
        <f t="shared" si="75"/>
        <v>-5.7825901346683743E-3</v>
      </c>
      <c r="I520" s="4">
        <f t="shared" si="76"/>
        <v>4.8676012461059187E-3</v>
      </c>
      <c r="J520" s="4">
        <f t="shared" si="77"/>
        <v>1.937608990505716E-3</v>
      </c>
      <c r="K520" s="4">
        <f t="shared" si="78"/>
        <v>-5.8502340093603746E-3</v>
      </c>
      <c r="L520" s="4">
        <f t="shared" si="79"/>
        <v>2.3272727272727271E-2</v>
      </c>
      <c r="M520" s="3">
        <f t="shared" si="72"/>
        <v>10</v>
      </c>
      <c r="N520" s="3">
        <f t="shared" si="73"/>
        <v>11</v>
      </c>
      <c r="O520" s="3">
        <f t="shared" si="74"/>
        <v>1</v>
      </c>
    </row>
    <row r="521" spans="1:15" x14ac:dyDescent="0.2">
      <c r="A521" s="2">
        <v>44481</v>
      </c>
      <c r="B521" s="3">
        <v>25684</v>
      </c>
      <c r="C521" s="3">
        <v>25430</v>
      </c>
      <c r="D521" s="3">
        <v>25740</v>
      </c>
      <c r="E521" s="3">
        <v>25295</v>
      </c>
      <c r="F521" s="3">
        <v>16850</v>
      </c>
      <c r="G521" s="7">
        <f t="shared" si="80"/>
        <v>1</v>
      </c>
      <c r="H521" s="5">
        <f t="shared" si="75"/>
        <v>2.5763135295495355E-3</v>
      </c>
      <c r="I521" s="4">
        <f t="shared" si="76"/>
        <v>-1.453206742879287E-2</v>
      </c>
      <c r="J521" s="4">
        <f t="shared" si="77"/>
        <v>-4.4478824211951267E-3</v>
      </c>
      <c r="K521" s="4">
        <f t="shared" si="78"/>
        <v>-7.6500588466065127E-3</v>
      </c>
      <c r="L521" s="4">
        <f t="shared" si="79"/>
        <v>0.19758351101634683</v>
      </c>
      <c r="M521" s="3">
        <f t="shared" si="72"/>
        <v>10</v>
      </c>
      <c r="N521" s="3">
        <f t="shared" si="73"/>
        <v>12</v>
      </c>
      <c r="O521" s="3">
        <f t="shared" si="74"/>
        <v>2</v>
      </c>
    </row>
    <row r="522" spans="1:15" x14ac:dyDescent="0.2">
      <c r="A522" s="2">
        <v>44482</v>
      </c>
      <c r="B522" s="3">
        <v>25663</v>
      </c>
      <c r="C522" s="3">
        <v>25655</v>
      </c>
      <c r="D522" s="3">
        <v>25750</v>
      </c>
      <c r="E522" s="3">
        <v>25555</v>
      </c>
      <c r="F522" s="3">
        <v>11690</v>
      </c>
      <c r="G522" s="7">
        <f t="shared" si="80"/>
        <v>0</v>
      </c>
      <c r="H522" s="5">
        <f t="shared" si="75"/>
        <v>-8.1762965270207137E-4</v>
      </c>
      <c r="I522" s="4">
        <f t="shared" si="76"/>
        <v>8.8478175383405432E-3</v>
      </c>
      <c r="J522" s="4">
        <f t="shared" si="77"/>
        <v>3.885003885003885E-4</v>
      </c>
      <c r="K522" s="4">
        <f t="shared" si="78"/>
        <v>1.0278711207748568E-2</v>
      </c>
      <c r="L522" s="4">
        <f t="shared" si="79"/>
        <v>-0.30623145400593471</v>
      </c>
      <c r="M522" s="3">
        <f t="shared" si="72"/>
        <v>10</v>
      </c>
      <c r="N522" s="3">
        <f t="shared" si="73"/>
        <v>13</v>
      </c>
      <c r="O522" s="3">
        <f t="shared" si="74"/>
        <v>3</v>
      </c>
    </row>
    <row r="523" spans="1:15" x14ac:dyDescent="0.2">
      <c r="A523" s="2">
        <v>44483</v>
      </c>
      <c r="B523" s="3">
        <v>25996</v>
      </c>
      <c r="C523" s="3">
        <v>25790</v>
      </c>
      <c r="D523" s="3">
        <v>26075</v>
      </c>
      <c r="E523" s="3">
        <v>25755</v>
      </c>
      <c r="F523" s="3">
        <v>13800</v>
      </c>
      <c r="G523" s="7">
        <f t="shared" si="80"/>
        <v>1</v>
      </c>
      <c r="H523" s="5">
        <f t="shared" si="75"/>
        <v>1.2975879671121848E-2</v>
      </c>
      <c r="I523" s="4">
        <f t="shared" si="76"/>
        <v>5.2621321379847982E-3</v>
      </c>
      <c r="J523" s="4">
        <f t="shared" si="77"/>
        <v>1.262135922330097E-2</v>
      </c>
      <c r="K523" s="4">
        <f t="shared" si="78"/>
        <v>7.82625709254549E-3</v>
      </c>
      <c r="L523" s="4">
        <f t="shared" si="79"/>
        <v>0.1804961505560308</v>
      </c>
      <c r="M523" s="3">
        <f t="shared" si="72"/>
        <v>10</v>
      </c>
      <c r="N523" s="3">
        <f t="shared" si="73"/>
        <v>14</v>
      </c>
      <c r="O523" s="3">
        <f t="shared" si="74"/>
        <v>4</v>
      </c>
    </row>
    <row r="524" spans="1:15" x14ac:dyDescent="0.2">
      <c r="A524" s="2">
        <v>44484</v>
      </c>
      <c r="B524" s="3">
        <v>26195</v>
      </c>
      <c r="C524" s="3">
        <v>26115</v>
      </c>
      <c r="D524" s="3">
        <v>26255</v>
      </c>
      <c r="E524" s="3">
        <v>26050</v>
      </c>
      <c r="F524" s="3">
        <v>14830</v>
      </c>
      <c r="G524" s="7">
        <f t="shared" si="80"/>
        <v>1</v>
      </c>
      <c r="H524" s="5">
        <f t="shared" si="75"/>
        <v>7.65502384982305E-3</v>
      </c>
      <c r="I524" s="4">
        <f t="shared" si="76"/>
        <v>1.2601783637068631E-2</v>
      </c>
      <c r="J524" s="4">
        <f t="shared" si="77"/>
        <v>6.9031639501438155E-3</v>
      </c>
      <c r="K524" s="4">
        <f t="shared" si="78"/>
        <v>1.1454086585129102E-2</v>
      </c>
      <c r="L524" s="4">
        <f t="shared" si="79"/>
        <v>7.4637681159420294E-2</v>
      </c>
      <c r="M524" s="3">
        <f t="shared" si="72"/>
        <v>10</v>
      </c>
      <c r="N524" s="3">
        <f t="shared" si="73"/>
        <v>15</v>
      </c>
      <c r="O524" s="3">
        <f t="shared" si="74"/>
        <v>5</v>
      </c>
    </row>
    <row r="525" spans="1:15" x14ac:dyDescent="0.2">
      <c r="A525" s="2">
        <v>44487</v>
      </c>
      <c r="B525" s="3">
        <v>26112</v>
      </c>
      <c r="C525" s="3">
        <v>26180</v>
      </c>
      <c r="D525" s="3">
        <v>26235</v>
      </c>
      <c r="E525" s="3">
        <v>25995</v>
      </c>
      <c r="F525" s="3">
        <v>14650</v>
      </c>
      <c r="G525" s="7">
        <f t="shared" si="80"/>
        <v>0</v>
      </c>
      <c r="H525" s="5">
        <f t="shared" si="75"/>
        <v>-3.1685436151937391E-3</v>
      </c>
      <c r="I525" s="4">
        <f t="shared" si="76"/>
        <v>2.488991001340226E-3</v>
      </c>
      <c r="J525" s="4">
        <f t="shared" si="77"/>
        <v>-7.617596648257475E-4</v>
      </c>
      <c r="K525" s="4">
        <f t="shared" si="78"/>
        <v>-2.1113243761996161E-3</v>
      </c>
      <c r="L525" s="4">
        <f t="shared" si="79"/>
        <v>-1.2137559002022926E-2</v>
      </c>
      <c r="M525" s="3">
        <f t="shared" si="72"/>
        <v>10</v>
      </c>
      <c r="N525" s="3">
        <f t="shared" si="73"/>
        <v>18</v>
      </c>
      <c r="O525" s="3">
        <f t="shared" si="74"/>
        <v>1</v>
      </c>
    </row>
    <row r="526" spans="1:15" x14ac:dyDescent="0.2">
      <c r="A526" s="2">
        <v>44488</v>
      </c>
      <c r="B526" s="3">
        <v>26197</v>
      </c>
      <c r="C526" s="3">
        <v>26140</v>
      </c>
      <c r="D526" s="3">
        <v>26235</v>
      </c>
      <c r="E526" s="3">
        <v>26100</v>
      </c>
      <c r="F526" s="3">
        <v>11180</v>
      </c>
      <c r="G526" s="7">
        <f t="shared" si="80"/>
        <v>1</v>
      </c>
      <c r="H526" s="5">
        <f t="shared" si="75"/>
        <v>3.2552083333333335E-3</v>
      </c>
      <c r="I526" s="4">
        <f t="shared" si="76"/>
        <v>-1.5278838808250573E-3</v>
      </c>
      <c r="J526" s="4">
        <f t="shared" si="77"/>
        <v>0</v>
      </c>
      <c r="K526" s="4">
        <f t="shared" si="78"/>
        <v>4.0392383150605884E-3</v>
      </c>
      <c r="L526" s="4">
        <f t="shared" si="79"/>
        <v>-0.23686006825938566</v>
      </c>
      <c r="M526" s="3">
        <f t="shared" si="72"/>
        <v>10</v>
      </c>
      <c r="N526" s="3">
        <f t="shared" si="73"/>
        <v>19</v>
      </c>
      <c r="O526" s="3">
        <f t="shared" si="74"/>
        <v>2</v>
      </c>
    </row>
    <row r="527" spans="1:15" x14ac:dyDescent="0.2">
      <c r="A527" s="2">
        <v>44489</v>
      </c>
      <c r="B527" s="3">
        <v>26419</v>
      </c>
      <c r="C527" s="3">
        <v>26200</v>
      </c>
      <c r="D527" s="3">
        <v>26455</v>
      </c>
      <c r="E527" s="3">
        <v>26105</v>
      </c>
      <c r="F527" s="3">
        <v>12600</v>
      </c>
      <c r="G527" s="7">
        <f t="shared" si="80"/>
        <v>1</v>
      </c>
      <c r="H527" s="5">
        <f t="shared" si="75"/>
        <v>8.4742527770355382E-3</v>
      </c>
      <c r="I527" s="4">
        <f t="shared" si="76"/>
        <v>2.2953328232593728E-3</v>
      </c>
      <c r="J527" s="4">
        <f t="shared" si="77"/>
        <v>8.385744234800839E-3</v>
      </c>
      <c r="K527" s="4">
        <f t="shared" si="78"/>
        <v>1.9157088122605365E-4</v>
      </c>
      <c r="L527" s="4">
        <f t="shared" si="79"/>
        <v>0.12701252236135957</v>
      </c>
      <c r="M527" s="3">
        <f t="shared" si="72"/>
        <v>10</v>
      </c>
      <c r="N527" s="3">
        <f t="shared" si="73"/>
        <v>20</v>
      </c>
      <c r="O527" s="3">
        <f t="shared" si="74"/>
        <v>3</v>
      </c>
    </row>
    <row r="528" spans="1:15" x14ac:dyDescent="0.2">
      <c r="A528" s="2">
        <v>44490</v>
      </c>
      <c r="B528" s="3">
        <v>26378</v>
      </c>
      <c r="C528" s="3">
        <v>26330</v>
      </c>
      <c r="D528" s="3">
        <v>26475</v>
      </c>
      <c r="E528" s="3">
        <v>26230</v>
      </c>
      <c r="F528" s="3">
        <v>12270</v>
      </c>
      <c r="G528" s="7">
        <f t="shared" si="80"/>
        <v>0</v>
      </c>
      <c r="H528" s="5">
        <f t="shared" si="75"/>
        <v>-1.5519133956622129E-3</v>
      </c>
      <c r="I528" s="4">
        <f t="shared" si="76"/>
        <v>4.9618320610687024E-3</v>
      </c>
      <c r="J528" s="4">
        <f t="shared" si="77"/>
        <v>7.5600075600075597E-4</v>
      </c>
      <c r="K528" s="4">
        <f t="shared" si="78"/>
        <v>4.7883547213177554E-3</v>
      </c>
      <c r="L528" s="4">
        <f t="shared" si="79"/>
        <v>-2.6190476190476191E-2</v>
      </c>
      <c r="M528" s="3">
        <f t="shared" si="72"/>
        <v>10</v>
      </c>
      <c r="N528" s="3">
        <f t="shared" si="73"/>
        <v>21</v>
      </c>
      <c r="O528" s="3">
        <f t="shared" si="74"/>
        <v>4</v>
      </c>
    </row>
    <row r="529" spans="1:15" x14ac:dyDescent="0.2">
      <c r="A529" s="2">
        <v>44491</v>
      </c>
      <c r="B529" s="3">
        <v>26417</v>
      </c>
      <c r="C529" s="3">
        <v>26465</v>
      </c>
      <c r="D529" s="3">
        <v>26535</v>
      </c>
      <c r="E529" s="3">
        <v>26390</v>
      </c>
      <c r="F529" s="3">
        <v>12480</v>
      </c>
      <c r="G529" s="7">
        <f t="shared" si="80"/>
        <v>1</v>
      </c>
      <c r="H529" s="5">
        <f t="shared" si="75"/>
        <v>1.4785048146182425E-3</v>
      </c>
      <c r="I529" s="4">
        <f t="shared" si="76"/>
        <v>5.1272312951006456E-3</v>
      </c>
      <c r="J529" s="4">
        <f t="shared" si="77"/>
        <v>2.2662889518413596E-3</v>
      </c>
      <c r="K529" s="4">
        <f t="shared" si="78"/>
        <v>6.0998856271444911E-3</v>
      </c>
      <c r="L529" s="4">
        <f t="shared" si="79"/>
        <v>1.7114914425427872E-2</v>
      </c>
      <c r="M529" s="3">
        <f t="shared" si="72"/>
        <v>10</v>
      </c>
      <c r="N529" s="3">
        <f t="shared" si="73"/>
        <v>22</v>
      </c>
      <c r="O529" s="3">
        <f t="shared" si="74"/>
        <v>5</v>
      </c>
    </row>
    <row r="530" spans="1:15" x14ac:dyDescent="0.2">
      <c r="A530" s="2">
        <v>44494</v>
      </c>
      <c r="B530" s="3">
        <v>26654</v>
      </c>
      <c r="C530" s="3">
        <v>26445</v>
      </c>
      <c r="D530" s="3">
        <v>26705</v>
      </c>
      <c r="E530" s="3">
        <v>26410</v>
      </c>
      <c r="F530" s="3">
        <v>12140</v>
      </c>
      <c r="G530" s="7">
        <f t="shared" si="80"/>
        <v>1</v>
      </c>
      <c r="H530" s="5">
        <f t="shared" si="75"/>
        <v>8.9714956278154224E-3</v>
      </c>
      <c r="I530" s="4">
        <f t="shared" si="76"/>
        <v>-7.5571509540903084E-4</v>
      </c>
      <c r="J530" s="4">
        <f t="shared" si="77"/>
        <v>6.4066327491991712E-3</v>
      </c>
      <c r="K530" s="4">
        <f t="shared" si="78"/>
        <v>7.5786282682834406E-4</v>
      </c>
      <c r="L530" s="4">
        <f t="shared" si="79"/>
        <v>-2.7243589743589744E-2</v>
      </c>
      <c r="M530" s="3">
        <f t="shared" si="72"/>
        <v>10</v>
      </c>
      <c r="N530" s="3">
        <f t="shared" si="73"/>
        <v>25</v>
      </c>
      <c r="O530" s="3">
        <f t="shared" si="74"/>
        <v>1</v>
      </c>
    </row>
    <row r="531" spans="1:15" x14ac:dyDescent="0.2">
      <c r="A531" s="2">
        <v>44495</v>
      </c>
      <c r="B531" s="3">
        <v>26827</v>
      </c>
      <c r="C531" s="3">
        <v>26735</v>
      </c>
      <c r="D531" s="3">
        <v>26895</v>
      </c>
      <c r="E531" s="3">
        <v>26685</v>
      </c>
      <c r="F531" s="3">
        <v>12580</v>
      </c>
      <c r="G531" s="7">
        <f t="shared" si="80"/>
        <v>1</v>
      </c>
      <c r="H531" s="5">
        <f t="shared" si="75"/>
        <v>6.4905830269377952E-3</v>
      </c>
      <c r="I531" s="4">
        <f t="shared" si="76"/>
        <v>1.0966156173189639E-2</v>
      </c>
      <c r="J531" s="4">
        <f t="shared" si="77"/>
        <v>7.114772514510391E-3</v>
      </c>
      <c r="K531" s="4">
        <f t="shared" si="78"/>
        <v>1.0412722453616054E-2</v>
      </c>
      <c r="L531" s="4">
        <f t="shared" si="79"/>
        <v>3.6243822075782535E-2</v>
      </c>
      <c r="M531" s="3">
        <f t="shared" si="72"/>
        <v>10</v>
      </c>
      <c r="N531" s="3">
        <f t="shared" si="73"/>
        <v>26</v>
      </c>
      <c r="O531" s="3">
        <f t="shared" si="74"/>
        <v>2</v>
      </c>
    </row>
    <row r="532" spans="1:15" x14ac:dyDescent="0.2">
      <c r="A532" s="2">
        <v>44496</v>
      </c>
      <c r="B532" s="3">
        <v>26649</v>
      </c>
      <c r="C532" s="3">
        <v>26790</v>
      </c>
      <c r="D532" s="3">
        <v>26790</v>
      </c>
      <c r="E532" s="3">
        <v>26575</v>
      </c>
      <c r="F532" s="3">
        <v>11810</v>
      </c>
      <c r="G532" s="7">
        <f t="shared" si="80"/>
        <v>0</v>
      </c>
      <c r="H532" s="5">
        <f t="shared" si="75"/>
        <v>-6.635106422633914E-3</v>
      </c>
      <c r="I532" s="4">
        <f t="shared" si="76"/>
        <v>2.0572283523471106E-3</v>
      </c>
      <c r="J532" s="4">
        <f t="shared" si="77"/>
        <v>-3.9040713887339654E-3</v>
      </c>
      <c r="K532" s="4">
        <f t="shared" si="78"/>
        <v>-4.1221660108675283E-3</v>
      </c>
      <c r="L532" s="4">
        <f t="shared" si="79"/>
        <v>-6.1208267090620029E-2</v>
      </c>
      <c r="M532" s="3">
        <f t="shared" si="72"/>
        <v>10</v>
      </c>
      <c r="N532" s="3">
        <f t="shared" si="73"/>
        <v>27</v>
      </c>
      <c r="O532" s="3">
        <f t="shared" si="74"/>
        <v>3</v>
      </c>
    </row>
    <row r="533" spans="1:15" x14ac:dyDescent="0.2">
      <c r="A533" s="2">
        <v>44497</v>
      </c>
      <c r="B533" s="3">
        <v>26737</v>
      </c>
      <c r="C533" s="3">
        <v>26665</v>
      </c>
      <c r="D533" s="3">
        <v>26785</v>
      </c>
      <c r="E533" s="3">
        <v>26605</v>
      </c>
      <c r="F533" s="3">
        <v>14360</v>
      </c>
      <c r="G533" s="7">
        <f t="shared" si="80"/>
        <v>1</v>
      </c>
      <c r="H533" s="5">
        <f t="shared" si="75"/>
        <v>3.3021876993508197E-3</v>
      </c>
      <c r="I533" s="4">
        <f t="shared" si="76"/>
        <v>-4.6659201194475548E-3</v>
      </c>
      <c r="J533" s="4">
        <f t="shared" si="77"/>
        <v>-1.866368047779022E-4</v>
      </c>
      <c r="K533" s="4">
        <f t="shared" si="78"/>
        <v>1.1288805268109125E-3</v>
      </c>
      <c r="L533" s="4">
        <f t="shared" si="79"/>
        <v>0.21591871295512277</v>
      </c>
      <c r="M533" s="3">
        <f t="shared" si="72"/>
        <v>10</v>
      </c>
      <c r="N533" s="3">
        <f t="shared" si="73"/>
        <v>28</v>
      </c>
      <c r="O533" s="3">
        <f t="shared" si="74"/>
        <v>4</v>
      </c>
    </row>
    <row r="534" spans="1:15" x14ac:dyDescent="0.2">
      <c r="A534" s="2">
        <v>44498</v>
      </c>
      <c r="B534" s="3">
        <v>26747</v>
      </c>
      <c r="C534" s="3">
        <v>26610</v>
      </c>
      <c r="D534" s="3">
        <v>26820</v>
      </c>
      <c r="E534" s="3">
        <v>26470</v>
      </c>
      <c r="F534" s="3">
        <v>16410</v>
      </c>
      <c r="G534" s="7">
        <f t="shared" si="80"/>
        <v>1</v>
      </c>
      <c r="H534" s="5">
        <f t="shared" si="75"/>
        <v>3.740135392901223E-4</v>
      </c>
      <c r="I534" s="4">
        <f t="shared" si="76"/>
        <v>-2.0626289143071443E-3</v>
      </c>
      <c r="J534" s="4">
        <f t="shared" si="77"/>
        <v>1.3067015120403211E-3</v>
      </c>
      <c r="K534" s="4">
        <f t="shared" si="78"/>
        <v>-5.0742341665100544E-3</v>
      </c>
      <c r="L534" s="4">
        <f t="shared" si="79"/>
        <v>0.14275766016713093</v>
      </c>
      <c r="M534" s="3">
        <f t="shared" si="72"/>
        <v>10</v>
      </c>
      <c r="N534" s="3">
        <f t="shared" si="73"/>
        <v>29</v>
      </c>
      <c r="O534" s="3">
        <f t="shared" si="74"/>
        <v>5</v>
      </c>
    </row>
    <row r="535" spans="1:15" x14ac:dyDescent="0.2">
      <c r="A535" s="2">
        <v>44501</v>
      </c>
      <c r="B535" s="3">
        <v>27058</v>
      </c>
      <c r="C535" s="3">
        <v>26840</v>
      </c>
      <c r="D535" s="3">
        <v>27155</v>
      </c>
      <c r="E535" s="3">
        <v>26825</v>
      </c>
      <c r="F535" s="3">
        <v>15060</v>
      </c>
      <c r="G535" s="7">
        <f t="shared" si="80"/>
        <v>1</v>
      </c>
      <c r="H535" s="5">
        <f t="shared" si="75"/>
        <v>1.162747223987737E-2</v>
      </c>
      <c r="I535" s="4">
        <f t="shared" si="76"/>
        <v>8.6433671552048098E-3</v>
      </c>
      <c r="J535" s="4">
        <f t="shared" si="77"/>
        <v>1.2490678598061149E-2</v>
      </c>
      <c r="K535" s="4">
        <f t="shared" si="78"/>
        <v>1.3411409142425387E-2</v>
      </c>
      <c r="L535" s="4">
        <f t="shared" si="79"/>
        <v>-8.226691042047532E-2</v>
      </c>
      <c r="M535" s="3">
        <f t="shared" si="72"/>
        <v>11</v>
      </c>
      <c r="N535" s="3">
        <f t="shared" si="73"/>
        <v>1</v>
      </c>
      <c r="O535" s="3">
        <f t="shared" si="74"/>
        <v>1</v>
      </c>
    </row>
    <row r="536" spans="1:15" x14ac:dyDescent="0.2">
      <c r="A536" s="2">
        <v>44502</v>
      </c>
      <c r="B536" s="3">
        <v>27047</v>
      </c>
      <c r="C536" s="3">
        <v>27050</v>
      </c>
      <c r="D536" s="3">
        <v>27080</v>
      </c>
      <c r="E536" s="3">
        <v>26950</v>
      </c>
      <c r="F536" s="3">
        <v>13300</v>
      </c>
      <c r="G536" s="7">
        <f t="shared" si="80"/>
        <v>0</v>
      </c>
      <c r="H536" s="5">
        <f t="shared" si="75"/>
        <v>-4.0653411190775369E-4</v>
      </c>
      <c r="I536" s="4">
        <f t="shared" si="76"/>
        <v>7.82414307004471E-3</v>
      </c>
      <c r="J536" s="4">
        <f t="shared" si="77"/>
        <v>-2.7619222979193519E-3</v>
      </c>
      <c r="K536" s="4">
        <f t="shared" si="78"/>
        <v>4.6598322460391422E-3</v>
      </c>
      <c r="L536" s="4">
        <f t="shared" si="79"/>
        <v>-0.11686586985391766</v>
      </c>
      <c r="M536" s="3">
        <f t="shared" si="72"/>
        <v>11</v>
      </c>
      <c r="N536" s="3">
        <f t="shared" si="73"/>
        <v>2</v>
      </c>
      <c r="O536" s="3">
        <f t="shared" si="74"/>
        <v>2</v>
      </c>
    </row>
    <row r="537" spans="1:15" x14ac:dyDescent="0.2">
      <c r="A537" s="2">
        <v>44503</v>
      </c>
      <c r="B537" s="3">
        <v>27216</v>
      </c>
      <c r="C537" s="3">
        <v>27025</v>
      </c>
      <c r="D537" s="3">
        <v>27380</v>
      </c>
      <c r="E537" s="3">
        <v>26995</v>
      </c>
      <c r="F537" s="3">
        <v>14170</v>
      </c>
      <c r="G537" s="7">
        <f t="shared" si="80"/>
        <v>1</v>
      </c>
      <c r="H537" s="5">
        <f t="shared" si="75"/>
        <v>6.248382445372869E-3</v>
      </c>
      <c r="I537" s="4">
        <f t="shared" si="76"/>
        <v>-9.2421441774491681E-4</v>
      </c>
      <c r="J537" s="4">
        <f t="shared" si="77"/>
        <v>1.1078286558345642E-2</v>
      </c>
      <c r="K537" s="4">
        <f t="shared" si="78"/>
        <v>1.6697588126159556E-3</v>
      </c>
      <c r="L537" s="4">
        <f t="shared" si="79"/>
        <v>6.5413533834586465E-2</v>
      </c>
      <c r="M537" s="3">
        <f t="shared" si="72"/>
        <v>11</v>
      </c>
      <c r="N537" s="3">
        <f t="shared" si="73"/>
        <v>3</v>
      </c>
      <c r="O537" s="3">
        <f t="shared" si="74"/>
        <v>3</v>
      </c>
    </row>
    <row r="538" spans="1:15" x14ac:dyDescent="0.2">
      <c r="A538" s="2">
        <v>44504</v>
      </c>
      <c r="B538" s="3">
        <v>27346</v>
      </c>
      <c r="C538" s="3">
        <v>27385</v>
      </c>
      <c r="D538" s="3">
        <v>27420</v>
      </c>
      <c r="E538" s="3">
        <v>27260</v>
      </c>
      <c r="F538" s="3">
        <v>13330</v>
      </c>
      <c r="G538" s="7">
        <f t="shared" si="80"/>
        <v>1</v>
      </c>
      <c r="H538" s="5">
        <f t="shared" si="75"/>
        <v>4.7766019988242214E-3</v>
      </c>
      <c r="I538" s="4">
        <f t="shared" si="76"/>
        <v>1.3320999074930619E-2</v>
      </c>
      <c r="J538" s="4">
        <f t="shared" si="77"/>
        <v>1.4609203798392988E-3</v>
      </c>
      <c r="K538" s="4">
        <f t="shared" si="78"/>
        <v>9.8166327097610664E-3</v>
      </c>
      <c r="L538" s="4">
        <f t="shared" si="79"/>
        <v>-5.9280169371912494E-2</v>
      </c>
      <c r="M538" s="3">
        <f t="shared" si="72"/>
        <v>11</v>
      </c>
      <c r="N538" s="3">
        <f t="shared" si="73"/>
        <v>4</v>
      </c>
      <c r="O538" s="3">
        <f t="shared" si="74"/>
        <v>4</v>
      </c>
    </row>
    <row r="539" spans="1:15" x14ac:dyDescent="0.2">
      <c r="A539" s="2">
        <v>44505</v>
      </c>
      <c r="B539" s="3">
        <v>27652</v>
      </c>
      <c r="C539" s="3">
        <v>27375</v>
      </c>
      <c r="D539" s="3">
        <v>27725</v>
      </c>
      <c r="E539" s="3">
        <v>27335</v>
      </c>
      <c r="F539" s="3">
        <v>15390</v>
      </c>
      <c r="G539" s="7">
        <f t="shared" si="80"/>
        <v>1</v>
      </c>
      <c r="H539" s="5">
        <f t="shared" si="75"/>
        <v>1.1189936370950048E-2</v>
      </c>
      <c r="I539" s="4">
        <f t="shared" si="76"/>
        <v>-3.6516341062625527E-4</v>
      </c>
      <c r="J539" s="4">
        <f t="shared" si="77"/>
        <v>1.112326768781911E-2</v>
      </c>
      <c r="K539" s="4">
        <f t="shared" si="78"/>
        <v>2.7512839325018342E-3</v>
      </c>
      <c r="L539" s="4">
        <f t="shared" si="79"/>
        <v>0.15453863465866466</v>
      </c>
      <c r="M539" s="3">
        <f t="shared" si="72"/>
        <v>11</v>
      </c>
      <c r="N539" s="3">
        <f t="shared" si="73"/>
        <v>5</v>
      </c>
      <c r="O539" s="3">
        <f t="shared" si="74"/>
        <v>5</v>
      </c>
    </row>
    <row r="540" spans="1:15" x14ac:dyDescent="0.2">
      <c r="A540" s="2">
        <v>44508</v>
      </c>
      <c r="B540" s="3">
        <v>27567</v>
      </c>
      <c r="C540" s="3">
        <v>27625</v>
      </c>
      <c r="D540" s="3">
        <v>27685</v>
      </c>
      <c r="E540" s="3">
        <v>27505</v>
      </c>
      <c r="F540" s="3">
        <v>9970</v>
      </c>
      <c r="G540" s="7">
        <f t="shared" si="80"/>
        <v>0</v>
      </c>
      <c r="H540" s="5">
        <f t="shared" si="75"/>
        <v>-3.0739187038912193E-3</v>
      </c>
      <c r="I540" s="4">
        <f t="shared" si="76"/>
        <v>9.1324200913242004E-3</v>
      </c>
      <c r="J540" s="4">
        <f t="shared" si="77"/>
        <v>-1.4427412082957619E-3</v>
      </c>
      <c r="K540" s="4">
        <f t="shared" si="78"/>
        <v>6.2191329796963601E-3</v>
      </c>
      <c r="L540" s="4">
        <f t="shared" si="79"/>
        <v>-0.3521767381416504</v>
      </c>
      <c r="M540" s="3">
        <f t="shared" si="72"/>
        <v>11</v>
      </c>
      <c r="N540" s="3">
        <f t="shared" si="73"/>
        <v>8</v>
      </c>
      <c r="O540" s="3">
        <f t="shared" si="74"/>
        <v>1</v>
      </c>
    </row>
    <row r="541" spans="1:15" x14ac:dyDescent="0.2">
      <c r="A541" s="2">
        <v>44509</v>
      </c>
      <c r="B541" s="3">
        <v>27308</v>
      </c>
      <c r="C541" s="3">
        <v>27520</v>
      </c>
      <c r="D541" s="3">
        <v>27570</v>
      </c>
      <c r="E541" s="3">
        <v>27270</v>
      </c>
      <c r="F541" s="3">
        <v>13470</v>
      </c>
      <c r="G541" s="7">
        <f t="shared" si="80"/>
        <v>0</v>
      </c>
      <c r="H541" s="5">
        <f t="shared" si="75"/>
        <v>-9.3952914716871616E-3</v>
      </c>
      <c r="I541" s="4">
        <f t="shared" si="76"/>
        <v>-3.8009049773755658E-3</v>
      </c>
      <c r="J541" s="4">
        <f t="shared" si="77"/>
        <v>-4.1538739389561131E-3</v>
      </c>
      <c r="K541" s="4">
        <f t="shared" si="78"/>
        <v>-8.543901108889293E-3</v>
      </c>
      <c r="L541" s="4">
        <f t="shared" si="79"/>
        <v>0.35105315947843529</v>
      </c>
      <c r="M541" s="3">
        <f t="shared" si="72"/>
        <v>11</v>
      </c>
      <c r="N541" s="3">
        <f t="shared" si="73"/>
        <v>9</v>
      </c>
      <c r="O541" s="3">
        <f t="shared" si="74"/>
        <v>2</v>
      </c>
    </row>
    <row r="542" spans="1:15" x14ac:dyDescent="0.2">
      <c r="A542" s="2">
        <v>44510</v>
      </c>
      <c r="B542" s="3">
        <v>27406</v>
      </c>
      <c r="C542" s="3">
        <v>27310</v>
      </c>
      <c r="D542" s="3">
        <v>27460</v>
      </c>
      <c r="E542" s="3">
        <v>27235</v>
      </c>
      <c r="F542" s="3">
        <v>13330</v>
      </c>
      <c r="G542" s="7">
        <f t="shared" si="80"/>
        <v>1</v>
      </c>
      <c r="H542" s="5">
        <f t="shared" si="75"/>
        <v>3.5886919584004686E-3</v>
      </c>
      <c r="I542" s="4">
        <f t="shared" si="76"/>
        <v>-7.6308139534883718E-3</v>
      </c>
      <c r="J542" s="4">
        <f t="shared" si="77"/>
        <v>-3.989844033369605E-3</v>
      </c>
      <c r="K542" s="4">
        <f t="shared" si="78"/>
        <v>-1.2834616795012834E-3</v>
      </c>
      <c r="L542" s="4">
        <f t="shared" si="79"/>
        <v>-1.0393466963622866E-2</v>
      </c>
      <c r="M542" s="3">
        <f t="shared" si="72"/>
        <v>11</v>
      </c>
      <c r="N542" s="3">
        <f t="shared" si="73"/>
        <v>10</v>
      </c>
      <c r="O542" s="3">
        <f t="shared" si="74"/>
        <v>3</v>
      </c>
    </row>
    <row r="543" spans="1:15" x14ac:dyDescent="0.2">
      <c r="A543" s="2">
        <v>44511</v>
      </c>
      <c r="B543" s="3">
        <v>27483</v>
      </c>
      <c r="C543" s="3">
        <v>27360</v>
      </c>
      <c r="D543" s="3">
        <v>27520</v>
      </c>
      <c r="E543" s="3">
        <v>27345</v>
      </c>
      <c r="F543" s="3">
        <v>10510</v>
      </c>
      <c r="G543" s="7">
        <f t="shared" si="80"/>
        <v>1</v>
      </c>
      <c r="H543" s="5">
        <f t="shared" si="75"/>
        <v>2.8096037364080859E-3</v>
      </c>
      <c r="I543" s="4">
        <f t="shared" si="76"/>
        <v>1.8308311973636031E-3</v>
      </c>
      <c r="J543" s="4">
        <f t="shared" si="77"/>
        <v>2.1849963583394027E-3</v>
      </c>
      <c r="K543" s="4">
        <f t="shared" si="78"/>
        <v>4.0389205067009361E-3</v>
      </c>
      <c r="L543" s="4">
        <f t="shared" si="79"/>
        <v>-0.21155288822205551</v>
      </c>
      <c r="M543" s="3">
        <f t="shared" si="72"/>
        <v>11</v>
      </c>
      <c r="N543" s="3">
        <f t="shared" si="73"/>
        <v>11</v>
      </c>
      <c r="O543" s="3">
        <f t="shared" si="74"/>
        <v>4</v>
      </c>
    </row>
    <row r="544" spans="1:15" x14ac:dyDescent="0.2">
      <c r="A544" s="2">
        <v>44512</v>
      </c>
      <c r="B544" s="3">
        <v>27586</v>
      </c>
      <c r="C544" s="3">
        <v>27505</v>
      </c>
      <c r="D544" s="3">
        <v>27605</v>
      </c>
      <c r="E544" s="3">
        <v>27430</v>
      </c>
      <c r="F544" s="3">
        <v>11300</v>
      </c>
      <c r="G544" s="7">
        <f t="shared" si="80"/>
        <v>1</v>
      </c>
      <c r="H544" s="5">
        <f t="shared" si="75"/>
        <v>3.7477713495615472E-3</v>
      </c>
      <c r="I544" s="4">
        <f t="shared" si="76"/>
        <v>5.299707602339181E-3</v>
      </c>
      <c r="J544" s="4">
        <f t="shared" si="77"/>
        <v>3.0886627906976743E-3</v>
      </c>
      <c r="K544" s="4">
        <f t="shared" si="78"/>
        <v>3.1084293289449626E-3</v>
      </c>
      <c r="L544" s="4">
        <f t="shared" si="79"/>
        <v>7.516650808753568E-2</v>
      </c>
      <c r="M544" s="3">
        <f t="shared" si="72"/>
        <v>11</v>
      </c>
      <c r="N544" s="3">
        <f t="shared" si="73"/>
        <v>12</v>
      </c>
      <c r="O544" s="3">
        <f t="shared" si="74"/>
        <v>5</v>
      </c>
    </row>
    <row r="545" spans="1:15" x14ac:dyDescent="0.2">
      <c r="A545" s="2">
        <v>44515</v>
      </c>
      <c r="B545" s="3">
        <v>27708</v>
      </c>
      <c r="C545" s="3">
        <v>27580</v>
      </c>
      <c r="D545" s="3">
        <v>27745</v>
      </c>
      <c r="E545" s="3">
        <v>27535</v>
      </c>
      <c r="F545" s="3">
        <v>9910</v>
      </c>
      <c r="G545" s="7">
        <f t="shared" si="80"/>
        <v>1</v>
      </c>
      <c r="H545" s="5">
        <f t="shared" si="75"/>
        <v>4.4225331689987674E-3</v>
      </c>
      <c r="I545" s="4">
        <f t="shared" si="76"/>
        <v>2.7267769496455191E-3</v>
      </c>
      <c r="J545" s="4">
        <f t="shared" si="77"/>
        <v>5.0715450099619638E-3</v>
      </c>
      <c r="K545" s="4">
        <f t="shared" si="78"/>
        <v>3.8279256288734961E-3</v>
      </c>
      <c r="L545" s="4">
        <f t="shared" si="79"/>
        <v>-0.12300884955752213</v>
      </c>
      <c r="M545" s="3">
        <f t="shared" si="72"/>
        <v>11</v>
      </c>
      <c r="N545" s="3">
        <f t="shared" si="73"/>
        <v>15</v>
      </c>
      <c r="O545" s="3">
        <f t="shared" si="74"/>
        <v>1</v>
      </c>
    </row>
    <row r="546" spans="1:15" x14ac:dyDescent="0.2">
      <c r="A546" s="2">
        <v>44516</v>
      </c>
      <c r="B546" s="3">
        <v>27672</v>
      </c>
      <c r="C546" s="3">
        <v>27745</v>
      </c>
      <c r="D546" s="3">
        <v>27825</v>
      </c>
      <c r="E546" s="3">
        <v>27645</v>
      </c>
      <c r="F546" s="3">
        <v>11350</v>
      </c>
      <c r="G546" s="7">
        <f t="shared" si="80"/>
        <v>0</v>
      </c>
      <c r="H546" s="5">
        <f t="shared" si="75"/>
        <v>-1.2992637505413599E-3</v>
      </c>
      <c r="I546" s="4">
        <f t="shared" si="76"/>
        <v>5.9825960841189268E-3</v>
      </c>
      <c r="J546" s="4">
        <f t="shared" si="77"/>
        <v>2.8834024148495225E-3</v>
      </c>
      <c r="K546" s="4">
        <f t="shared" si="78"/>
        <v>3.9949155620119846E-3</v>
      </c>
      <c r="L546" s="4">
        <f t="shared" si="79"/>
        <v>0.14530776992936428</v>
      </c>
      <c r="M546" s="3">
        <f t="shared" si="72"/>
        <v>11</v>
      </c>
      <c r="N546" s="3">
        <f t="shared" si="73"/>
        <v>16</v>
      </c>
      <c r="O546" s="3">
        <f t="shared" si="74"/>
        <v>2</v>
      </c>
    </row>
    <row r="547" spans="1:15" x14ac:dyDescent="0.2">
      <c r="A547" s="2">
        <v>44517</v>
      </c>
      <c r="B547" s="3">
        <v>27685</v>
      </c>
      <c r="C547" s="3">
        <v>27640</v>
      </c>
      <c r="D547" s="3">
        <v>27740</v>
      </c>
      <c r="E547" s="3">
        <v>27630</v>
      </c>
      <c r="F547" s="3">
        <v>9120</v>
      </c>
      <c r="G547" s="7">
        <f t="shared" si="80"/>
        <v>1</v>
      </c>
      <c r="H547" s="5">
        <f t="shared" si="75"/>
        <v>4.6978895634576469E-4</v>
      </c>
      <c r="I547" s="4">
        <f t="shared" si="76"/>
        <v>-3.784465669489998E-3</v>
      </c>
      <c r="J547" s="4">
        <f t="shared" si="77"/>
        <v>-3.0548068283917339E-3</v>
      </c>
      <c r="K547" s="4">
        <f t="shared" si="78"/>
        <v>-5.4259359739555074E-4</v>
      </c>
      <c r="L547" s="4">
        <f t="shared" si="79"/>
        <v>-0.19647577092511012</v>
      </c>
      <c r="M547" s="3">
        <f t="shared" si="72"/>
        <v>11</v>
      </c>
      <c r="N547" s="3">
        <f t="shared" si="73"/>
        <v>17</v>
      </c>
      <c r="O547" s="3">
        <f t="shared" si="74"/>
        <v>3</v>
      </c>
    </row>
    <row r="548" spans="1:15" x14ac:dyDescent="0.2">
      <c r="A548" s="2">
        <v>44518</v>
      </c>
      <c r="B548" s="3">
        <v>27518</v>
      </c>
      <c r="C548" s="3">
        <v>27680</v>
      </c>
      <c r="D548" s="3">
        <v>27725</v>
      </c>
      <c r="E548" s="3">
        <v>27445</v>
      </c>
      <c r="F548" s="3">
        <v>15270</v>
      </c>
      <c r="G548" s="7">
        <f t="shared" si="80"/>
        <v>0</v>
      </c>
      <c r="H548" s="5">
        <f t="shared" si="75"/>
        <v>-6.0321473722232252E-3</v>
      </c>
      <c r="I548" s="4">
        <f t="shared" si="76"/>
        <v>1.4471780028943559E-3</v>
      </c>
      <c r="J548" s="4">
        <f t="shared" si="77"/>
        <v>-5.4073540014419608E-4</v>
      </c>
      <c r="K548" s="4">
        <f t="shared" si="78"/>
        <v>-6.6956207021353605E-3</v>
      </c>
      <c r="L548" s="4">
        <f t="shared" si="79"/>
        <v>0.67434210526315785</v>
      </c>
      <c r="M548" s="3">
        <f t="shared" si="72"/>
        <v>11</v>
      </c>
      <c r="N548" s="3">
        <f t="shared" si="73"/>
        <v>18</v>
      </c>
      <c r="O548" s="3">
        <f t="shared" si="74"/>
        <v>4</v>
      </c>
    </row>
    <row r="549" spans="1:15" x14ac:dyDescent="0.2">
      <c r="A549" s="2">
        <v>44519</v>
      </c>
      <c r="B549" s="3">
        <v>27204</v>
      </c>
      <c r="C549" s="3">
        <v>27625</v>
      </c>
      <c r="D549" s="3">
        <v>27695</v>
      </c>
      <c r="E549" s="3">
        <v>27020</v>
      </c>
      <c r="F549" s="3">
        <v>21430</v>
      </c>
      <c r="G549" s="7">
        <f t="shared" si="80"/>
        <v>0</v>
      </c>
      <c r="H549" s="5">
        <f t="shared" si="75"/>
        <v>-1.141071298786249E-2</v>
      </c>
      <c r="I549" s="4">
        <f t="shared" si="76"/>
        <v>-1.9869942196531791E-3</v>
      </c>
      <c r="J549" s="4">
        <f t="shared" si="77"/>
        <v>-1.0820559062218215E-3</v>
      </c>
      <c r="K549" s="4">
        <f t="shared" si="78"/>
        <v>-1.5485516487520496E-2</v>
      </c>
      <c r="L549" s="4">
        <f t="shared" si="79"/>
        <v>0.4034053700065488</v>
      </c>
      <c r="M549" s="3">
        <f t="shared" si="72"/>
        <v>11</v>
      </c>
      <c r="N549" s="3">
        <f t="shared" si="73"/>
        <v>19</v>
      </c>
      <c r="O549" s="3">
        <f t="shared" si="74"/>
        <v>5</v>
      </c>
    </row>
    <row r="550" spans="1:15" x14ac:dyDescent="0.2">
      <c r="A550" s="2">
        <v>44522</v>
      </c>
      <c r="B550" s="3">
        <v>27372</v>
      </c>
      <c r="C550" s="3">
        <v>27270</v>
      </c>
      <c r="D550" s="3">
        <v>27435</v>
      </c>
      <c r="E550" s="3">
        <v>27190</v>
      </c>
      <c r="F550" s="3">
        <v>15440</v>
      </c>
      <c r="G550" s="7">
        <f t="shared" si="80"/>
        <v>1</v>
      </c>
      <c r="H550" s="5">
        <f t="shared" si="75"/>
        <v>6.1755624172915745E-3</v>
      </c>
      <c r="I550" s="4">
        <f t="shared" si="76"/>
        <v>-1.2850678733031674E-2</v>
      </c>
      <c r="J550" s="4">
        <f t="shared" si="77"/>
        <v>-9.3879761689835712E-3</v>
      </c>
      <c r="K550" s="4">
        <f t="shared" si="78"/>
        <v>6.2916358253145817E-3</v>
      </c>
      <c r="L550" s="4">
        <f t="shared" si="79"/>
        <v>-0.27951469902006532</v>
      </c>
      <c r="M550" s="3">
        <f t="shared" si="72"/>
        <v>11</v>
      </c>
      <c r="N550" s="3">
        <f t="shared" si="73"/>
        <v>22</v>
      </c>
      <c r="O550" s="3">
        <f t="shared" si="74"/>
        <v>1</v>
      </c>
    </row>
    <row r="551" spans="1:15" x14ac:dyDescent="0.2">
      <c r="A551" s="2">
        <v>44523</v>
      </c>
      <c r="B551" s="3">
        <v>26973</v>
      </c>
      <c r="C551" s="3">
        <v>27160</v>
      </c>
      <c r="D551" s="3">
        <v>27260</v>
      </c>
      <c r="E551" s="3">
        <v>26900</v>
      </c>
      <c r="F551" s="3">
        <v>23240</v>
      </c>
      <c r="G551" s="7">
        <f t="shared" si="80"/>
        <v>0</v>
      </c>
      <c r="H551" s="5">
        <f t="shared" si="75"/>
        <v>-1.457693993862341E-2</v>
      </c>
      <c r="I551" s="4">
        <f t="shared" si="76"/>
        <v>-4.0337367070040339E-3</v>
      </c>
      <c r="J551" s="4">
        <f t="shared" si="77"/>
        <v>-6.3787133223983964E-3</v>
      </c>
      <c r="K551" s="4">
        <f t="shared" si="78"/>
        <v>-1.0665685913938948E-2</v>
      </c>
      <c r="L551" s="4">
        <f t="shared" si="79"/>
        <v>0.50518134715025909</v>
      </c>
      <c r="M551" s="3">
        <f t="shared" si="72"/>
        <v>11</v>
      </c>
      <c r="N551" s="3">
        <f t="shared" si="73"/>
        <v>23</v>
      </c>
      <c r="O551" s="3">
        <f t="shared" si="74"/>
        <v>2</v>
      </c>
    </row>
    <row r="552" spans="1:15" x14ac:dyDescent="0.2">
      <c r="A552" s="2">
        <v>44524</v>
      </c>
      <c r="B552" s="3">
        <v>27113</v>
      </c>
      <c r="C552" s="3">
        <v>27105</v>
      </c>
      <c r="D552" s="3">
        <v>27175</v>
      </c>
      <c r="E552" s="3">
        <v>26780</v>
      </c>
      <c r="F552" s="3">
        <v>18720</v>
      </c>
      <c r="G552" s="7">
        <f t="shared" si="80"/>
        <v>1</v>
      </c>
      <c r="H552" s="5">
        <f t="shared" si="75"/>
        <v>5.1903755607459311E-3</v>
      </c>
      <c r="I552" s="4">
        <f t="shared" si="76"/>
        <v>-2.025036818851252E-3</v>
      </c>
      <c r="J552" s="4">
        <f t="shared" si="77"/>
        <v>-3.1181217901687453E-3</v>
      </c>
      <c r="K552" s="4">
        <f t="shared" si="78"/>
        <v>-4.4609665427509295E-3</v>
      </c>
      <c r="L552" s="4">
        <f t="shared" si="79"/>
        <v>-0.1944922547332186</v>
      </c>
      <c r="M552" s="3">
        <f t="shared" si="72"/>
        <v>11</v>
      </c>
      <c r="N552" s="3">
        <f t="shared" si="73"/>
        <v>24</v>
      </c>
      <c r="O552" s="3">
        <f t="shared" si="74"/>
        <v>3</v>
      </c>
    </row>
    <row r="553" spans="1:15" x14ac:dyDescent="0.2">
      <c r="A553" s="2">
        <v>44525</v>
      </c>
      <c r="B553" s="3">
        <v>27083</v>
      </c>
      <c r="C553" s="3">
        <v>27250</v>
      </c>
      <c r="D553" s="3">
        <v>27295</v>
      </c>
      <c r="E553" s="3">
        <v>27025</v>
      </c>
      <c r="F553" s="3">
        <v>12170</v>
      </c>
      <c r="G553" s="7">
        <f t="shared" si="80"/>
        <v>0</v>
      </c>
      <c r="H553" s="5">
        <f t="shared" si="75"/>
        <v>-1.1064802862095673E-3</v>
      </c>
      <c r="I553" s="4">
        <f t="shared" si="76"/>
        <v>5.349566500645637E-3</v>
      </c>
      <c r="J553" s="4">
        <f t="shared" si="77"/>
        <v>4.4158233670653175E-3</v>
      </c>
      <c r="K553" s="4">
        <f t="shared" si="78"/>
        <v>9.1486183719193433E-3</v>
      </c>
      <c r="L553" s="4">
        <f t="shared" si="79"/>
        <v>-0.34989316239316237</v>
      </c>
      <c r="M553" s="3">
        <f t="shared" si="72"/>
        <v>11</v>
      </c>
      <c r="N553" s="3">
        <f t="shared" si="73"/>
        <v>25</v>
      </c>
      <c r="O553" s="3">
        <f t="shared" si="74"/>
        <v>4</v>
      </c>
    </row>
    <row r="554" spans="1:15" x14ac:dyDescent="0.2">
      <c r="A554" s="2">
        <v>44526</v>
      </c>
      <c r="B554" s="3">
        <v>25847</v>
      </c>
      <c r="C554" s="3">
        <v>26540</v>
      </c>
      <c r="D554" s="3">
        <v>26540</v>
      </c>
      <c r="E554" s="3">
        <v>25175</v>
      </c>
      <c r="F554" s="3">
        <v>41770</v>
      </c>
      <c r="G554" s="7">
        <f t="shared" si="80"/>
        <v>0</v>
      </c>
      <c r="H554" s="5">
        <f t="shared" si="75"/>
        <v>-4.5637484769043314E-2</v>
      </c>
      <c r="I554" s="4">
        <f t="shared" si="76"/>
        <v>-2.6055045871559632E-2</v>
      </c>
      <c r="J554" s="4">
        <f t="shared" si="77"/>
        <v>-2.7660743725957136E-2</v>
      </c>
      <c r="K554" s="4">
        <f t="shared" si="78"/>
        <v>-6.8455134135060131E-2</v>
      </c>
      <c r="L554" s="4">
        <f t="shared" si="79"/>
        <v>2.4322103533278554</v>
      </c>
      <c r="M554" s="3">
        <f t="shared" si="72"/>
        <v>11</v>
      </c>
      <c r="N554" s="3">
        <f t="shared" si="73"/>
        <v>26</v>
      </c>
      <c r="O554" s="3">
        <f t="shared" si="74"/>
        <v>5</v>
      </c>
    </row>
    <row r="555" spans="1:15" x14ac:dyDescent="0.2">
      <c r="A555" s="2">
        <v>44529</v>
      </c>
      <c r="B555" s="3">
        <v>26044</v>
      </c>
      <c r="C555" s="3">
        <v>26110</v>
      </c>
      <c r="D555" s="3">
        <v>26320</v>
      </c>
      <c r="E555" s="3">
        <v>25955</v>
      </c>
      <c r="F555" s="3">
        <v>26720</v>
      </c>
      <c r="G555" s="7">
        <f t="shared" si="80"/>
        <v>1</v>
      </c>
      <c r="H555" s="5">
        <f t="shared" si="75"/>
        <v>7.6217742871513136E-3</v>
      </c>
      <c r="I555" s="4">
        <f t="shared" si="76"/>
        <v>-1.6201959306706856E-2</v>
      </c>
      <c r="J555" s="4">
        <f t="shared" si="77"/>
        <v>-8.2893745290128114E-3</v>
      </c>
      <c r="K555" s="4">
        <f t="shared" si="78"/>
        <v>3.0983118172790466E-2</v>
      </c>
      <c r="L555" s="4">
        <f t="shared" si="79"/>
        <v>-0.36030644002872875</v>
      </c>
      <c r="M555" s="3">
        <f t="shared" si="72"/>
        <v>11</v>
      </c>
      <c r="N555" s="3">
        <f t="shared" si="73"/>
        <v>29</v>
      </c>
      <c r="O555" s="3">
        <f t="shared" si="74"/>
        <v>1</v>
      </c>
    </row>
    <row r="556" spans="1:15" x14ac:dyDescent="0.2">
      <c r="A556" s="2">
        <v>44530</v>
      </c>
      <c r="B556" s="3">
        <v>25802</v>
      </c>
      <c r="C556" s="3">
        <v>25645</v>
      </c>
      <c r="D556" s="3">
        <v>26075</v>
      </c>
      <c r="E556" s="3">
        <v>25460</v>
      </c>
      <c r="F556" s="3">
        <v>29740</v>
      </c>
      <c r="G556" s="7">
        <f t="shared" si="80"/>
        <v>0</v>
      </c>
      <c r="H556" s="5">
        <f t="shared" si="75"/>
        <v>-9.2919674397174013E-3</v>
      </c>
      <c r="I556" s="4">
        <f t="shared" si="76"/>
        <v>-1.7809268479509765E-2</v>
      </c>
      <c r="J556" s="4">
        <f t="shared" si="77"/>
        <v>-9.3085106382978719E-3</v>
      </c>
      <c r="K556" s="4">
        <f t="shared" si="78"/>
        <v>-1.9071469851666346E-2</v>
      </c>
      <c r="L556" s="4">
        <f t="shared" si="79"/>
        <v>0.11302395209580839</v>
      </c>
      <c r="M556" s="3">
        <f t="shared" si="72"/>
        <v>11</v>
      </c>
      <c r="N556" s="3">
        <f t="shared" si="73"/>
        <v>30</v>
      </c>
      <c r="O556" s="3">
        <f t="shared" si="74"/>
        <v>2</v>
      </c>
    </row>
    <row r="557" spans="1:15" x14ac:dyDescent="0.2">
      <c r="A557" s="2">
        <v>44531</v>
      </c>
      <c r="B557" s="3">
        <v>26351</v>
      </c>
      <c r="C557" s="3">
        <v>26075</v>
      </c>
      <c r="D557" s="3">
        <v>26420</v>
      </c>
      <c r="E557" s="3">
        <v>25790</v>
      </c>
      <c r="F557" s="3">
        <v>19610</v>
      </c>
      <c r="G557" s="7">
        <f t="shared" si="80"/>
        <v>1</v>
      </c>
      <c r="H557" s="5">
        <f t="shared" si="75"/>
        <v>2.1277420355011241E-2</v>
      </c>
      <c r="I557" s="4">
        <f t="shared" si="76"/>
        <v>1.6767401052836809E-2</v>
      </c>
      <c r="J557" s="4">
        <f t="shared" si="77"/>
        <v>1.3231064237775647E-2</v>
      </c>
      <c r="K557" s="4">
        <f t="shared" si="78"/>
        <v>1.2961508248232521E-2</v>
      </c>
      <c r="L557" s="4">
        <f t="shared" si="79"/>
        <v>-0.34061869535978478</v>
      </c>
      <c r="M557" s="3">
        <f t="shared" si="72"/>
        <v>12</v>
      </c>
      <c r="N557" s="3">
        <f t="shared" si="73"/>
        <v>1</v>
      </c>
      <c r="O557" s="3">
        <f t="shared" si="74"/>
        <v>3</v>
      </c>
    </row>
    <row r="558" spans="1:15" x14ac:dyDescent="0.2">
      <c r="A558" s="2">
        <v>44532</v>
      </c>
      <c r="B558" s="3">
        <v>26000</v>
      </c>
      <c r="C558" s="3">
        <v>26115</v>
      </c>
      <c r="D558" s="3">
        <v>26225</v>
      </c>
      <c r="E558" s="3">
        <v>25860</v>
      </c>
      <c r="F558" s="3">
        <v>23380</v>
      </c>
      <c r="G558" s="7">
        <f t="shared" si="80"/>
        <v>0</v>
      </c>
      <c r="H558" s="5">
        <f t="shared" si="75"/>
        <v>-1.3320177602368031E-2</v>
      </c>
      <c r="I558" s="4">
        <f t="shared" si="76"/>
        <v>1.5340364333652923E-3</v>
      </c>
      <c r="J558" s="4">
        <f t="shared" si="77"/>
        <v>-7.3807721423164267E-3</v>
      </c>
      <c r="K558" s="4">
        <f t="shared" si="78"/>
        <v>2.7142303218301669E-3</v>
      </c>
      <c r="L558" s="4">
        <f t="shared" si="79"/>
        <v>0.19224885262621111</v>
      </c>
      <c r="M558" s="3">
        <f t="shared" si="72"/>
        <v>12</v>
      </c>
      <c r="N558" s="3">
        <f t="shared" si="73"/>
        <v>2</v>
      </c>
      <c r="O558" s="3">
        <f t="shared" si="74"/>
        <v>4</v>
      </c>
    </row>
    <row r="559" spans="1:15" x14ac:dyDescent="0.2">
      <c r="A559" s="2">
        <v>44533</v>
      </c>
      <c r="B559" s="3">
        <v>25922</v>
      </c>
      <c r="C559" s="3">
        <v>26200</v>
      </c>
      <c r="D559" s="3">
        <v>26270</v>
      </c>
      <c r="E559" s="3">
        <v>25770</v>
      </c>
      <c r="F559" s="3">
        <v>17010</v>
      </c>
      <c r="G559" s="7">
        <f t="shared" si="80"/>
        <v>0</v>
      </c>
      <c r="H559" s="5">
        <f t="shared" si="75"/>
        <v>-3.0000000000000001E-3</v>
      </c>
      <c r="I559" s="4">
        <f t="shared" si="76"/>
        <v>3.2548343863679878E-3</v>
      </c>
      <c r="J559" s="4">
        <f t="shared" si="77"/>
        <v>1.7159199237368923E-3</v>
      </c>
      <c r="K559" s="4">
        <f t="shared" si="78"/>
        <v>-3.4802784222737818E-3</v>
      </c>
      <c r="L559" s="4">
        <f t="shared" si="79"/>
        <v>-0.27245508982035926</v>
      </c>
      <c r="M559" s="3">
        <f t="shared" si="72"/>
        <v>12</v>
      </c>
      <c r="N559" s="3">
        <f t="shared" si="73"/>
        <v>3</v>
      </c>
      <c r="O559" s="3">
        <f t="shared" si="74"/>
        <v>5</v>
      </c>
    </row>
    <row r="560" spans="1:15" x14ac:dyDescent="0.2">
      <c r="A560" s="2">
        <v>44536</v>
      </c>
      <c r="B560" s="3">
        <v>26484</v>
      </c>
      <c r="C560" s="3">
        <v>26075</v>
      </c>
      <c r="D560" s="3">
        <v>26575</v>
      </c>
      <c r="E560" s="3">
        <v>26030</v>
      </c>
      <c r="F560" s="3">
        <v>17390</v>
      </c>
      <c r="G560" s="7">
        <f t="shared" si="80"/>
        <v>1</v>
      </c>
      <c r="H560" s="5">
        <f t="shared" si="75"/>
        <v>2.1680425893063807E-2</v>
      </c>
      <c r="I560" s="4">
        <f t="shared" si="76"/>
        <v>-4.7709923664122139E-3</v>
      </c>
      <c r="J560" s="4">
        <f t="shared" si="77"/>
        <v>1.1610201751046821E-2</v>
      </c>
      <c r="K560" s="4">
        <f t="shared" si="78"/>
        <v>1.0089251067132324E-2</v>
      </c>
      <c r="L560" s="4">
        <f t="shared" si="79"/>
        <v>2.2339800117577895E-2</v>
      </c>
      <c r="M560" s="3">
        <f t="shared" si="72"/>
        <v>12</v>
      </c>
      <c r="N560" s="3">
        <f t="shared" si="73"/>
        <v>6</v>
      </c>
      <c r="O560" s="3">
        <f t="shared" si="74"/>
        <v>1</v>
      </c>
    </row>
    <row r="561" spans="1:15" x14ac:dyDescent="0.2">
      <c r="A561" s="2">
        <v>44537</v>
      </c>
      <c r="B561" s="3">
        <v>27125</v>
      </c>
      <c r="C561" s="3">
        <v>26675</v>
      </c>
      <c r="D561" s="3">
        <v>27170</v>
      </c>
      <c r="E561" s="3">
        <v>26675</v>
      </c>
      <c r="F561" s="3">
        <v>18920</v>
      </c>
      <c r="G561" s="7">
        <f t="shared" si="80"/>
        <v>1</v>
      </c>
      <c r="H561" s="5">
        <f t="shared" si="75"/>
        <v>2.4203292553994865E-2</v>
      </c>
      <c r="I561" s="4">
        <f t="shared" si="76"/>
        <v>2.3010546500479387E-2</v>
      </c>
      <c r="J561" s="4">
        <f t="shared" si="77"/>
        <v>2.2389463781749764E-2</v>
      </c>
      <c r="K561" s="4">
        <f t="shared" si="78"/>
        <v>2.4779101037264696E-2</v>
      </c>
      <c r="L561" s="4">
        <f t="shared" si="79"/>
        <v>8.7981598619896489E-2</v>
      </c>
      <c r="M561" s="3">
        <f t="shared" si="72"/>
        <v>12</v>
      </c>
      <c r="N561" s="3">
        <f t="shared" si="73"/>
        <v>7</v>
      </c>
      <c r="O561" s="3">
        <f t="shared" si="74"/>
        <v>2</v>
      </c>
    </row>
    <row r="562" spans="1:15" x14ac:dyDescent="0.2">
      <c r="A562" s="2">
        <v>44538</v>
      </c>
      <c r="B562" s="3">
        <v>26754</v>
      </c>
      <c r="C562" s="3">
        <v>27095</v>
      </c>
      <c r="D562" s="3">
        <v>27150</v>
      </c>
      <c r="E562" s="3">
        <v>26730</v>
      </c>
      <c r="F562" s="3">
        <v>18490</v>
      </c>
      <c r="G562" s="7">
        <f t="shared" si="80"/>
        <v>0</v>
      </c>
      <c r="H562" s="5">
        <f t="shared" si="75"/>
        <v>-1.367741935483871E-2</v>
      </c>
      <c r="I562" s="4">
        <f t="shared" si="76"/>
        <v>1.5745079662605434E-2</v>
      </c>
      <c r="J562" s="4">
        <f t="shared" si="77"/>
        <v>-7.3610599926389399E-4</v>
      </c>
      <c r="K562" s="4">
        <f t="shared" si="78"/>
        <v>2.0618556701030928E-3</v>
      </c>
      <c r="L562" s="4">
        <f t="shared" si="79"/>
        <v>-2.2727272727272728E-2</v>
      </c>
      <c r="M562" s="3">
        <f t="shared" si="72"/>
        <v>12</v>
      </c>
      <c r="N562" s="3">
        <f t="shared" si="73"/>
        <v>8</v>
      </c>
      <c r="O562" s="3">
        <f t="shared" si="74"/>
        <v>3</v>
      </c>
    </row>
    <row r="563" spans="1:15" x14ac:dyDescent="0.2">
      <c r="A563" s="2">
        <v>44539</v>
      </c>
      <c r="B563" s="3">
        <v>26795</v>
      </c>
      <c r="C563" s="3">
        <v>26795</v>
      </c>
      <c r="D563" s="3">
        <v>26880</v>
      </c>
      <c r="E563" s="3">
        <v>26680</v>
      </c>
      <c r="F563" s="3">
        <v>15460</v>
      </c>
      <c r="G563" s="7">
        <f t="shared" si="80"/>
        <v>1</v>
      </c>
      <c r="H563" s="5">
        <f t="shared" si="75"/>
        <v>1.532481124317859E-3</v>
      </c>
      <c r="I563" s="4">
        <f t="shared" si="76"/>
        <v>-1.1072153533862336E-2</v>
      </c>
      <c r="J563" s="4">
        <f t="shared" si="77"/>
        <v>-9.9447513812154689E-3</v>
      </c>
      <c r="K563" s="4">
        <f t="shared" si="78"/>
        <v>-1.8705574261129816E-3</v>
      </c>
      <c r="L563" s="4">
        <f t="shared" si="79"/>
        <v>-0.16387236343969713</v>
      </c>
      <c r="M563" s="3">
        <f t="shared" si="72"/>
        <v>12</v>
      </c>
      <c r="N563" s="3">
        <f t="shared" si="73"/>
        <v>9</v>
      </c>
      <c r="O563" s="3">
        <f t="shared" si="74"/>
        <v>4</v>
      </c>
    </row>
    <row r="564" spans="1:15" x14ac:dyDescent="0.2">
      <c r="A564" s="2">
        <v>44540</v>
      </c>
      <c r="B564" s="3">
        <v>26709</v>
      </c>
      <c r="C564" s="3">
        <v>26630</v>
      </c>
      <c r="D564" s="3">
        <v>26905</v>
      </c>
      <c r="E564" s="3">
        <v>26625</v>
      </c>
      <c r="F564" s="3">
        <v>16560</v>
      </c>
      <c r="G564" s="7">
        <f t="shared" si="80"/>
        <v>0</v>
      </c>
      <c r="H564" s="5">
        <f t="shared" si="75"/>
        <v>-3.2095540212726255E-3</v>
      </c>
      <c r="I564" s="4">
        <f t="shared" si="76"/>
        <v>-6.1578652733718974E-3</v>
      </c>
      <c r="J564" s="4">
        <f t="shared" si="77"/>
        <v>9.3005952380952376E-4</v>
      </c>
      <c r="K564" s="4">
        <f t="shared" si="78"/>
        <v>-2.0614692653673165E-3</v>
      </c>
      <c r="L564" s="4">
        <f t="shared" si="79"/>
        <v>7.1151358344113846E-2</v>
      </c>
      <c r="M564" s="3">
        <f t="shared" si="72"/>
        <v>12</v>
      </c>
      <c r="N564" s="3">
        <f t="shared" si="73"/>
        <v>10</v>
      </c>
      <c r="O564" s="3">
        <f t="shared" si="74"/>
        <v>5</v>
      </c>
    </row>
    <row r="565" spans="1:15" x14ac:dyDescent="0.2">
      <c r="A565" s="2">
        <v>44543</v>
      </c>
      <c r="B565" s="3">
        <v>26549</v>
      </c>
      <c r="C565" s="3">
        <v>26860</v>
      </c>
      <c r="D565" s="3">
        <v>26945</v>
      </c>
      <c r="E565" s="3">
        <v>26510</v>
      </c>
      <c r="F565" s="3">
        <v>39040</v>
      </c>
      <c r="G565" s="7">
        <f t="shared" si="80"/>
        <v>0</v>
      </c>
      <c r="H565" s="5">
        <f t="shared" si="75"/>
        <v>-5.9904900969710581E-3</v>
      </c>
      <c r="I565" s="4">
        <f t="shared" si="76"/>
        <v>8.636875704093128E-3</v>
      </c>
      <c r="J565" s="4">
        <f t="shared" si="77"/>
        <v>1.4867125069689649E-3</v>
      </c>
      <c r="K565" s="4">
        <f t="shared" si="78"/>
        <v>-4.3192488262910802E-3</v>
      </c>
      <c r="L565" s="4">
        <f t="shared" si="79"/>
        <v>1.357487922705314</v>
      </c>
      <c r="M565" s="3">
        <f t="shared" si="72"/>
        <v>12</v>
      </c>
      <c r="N565" s="3">
        <f t="shared" si="73"/>
        <v>13</v>
      </c>
      <c r="O565" s="3">
        <f t="shared" si="74"/>
        <v>1</v>
      </c>
    </row>
    <row r="566" spans="1:15" x14ac:dyDescent="0.2">
      <c r="A566" s="2">
        <v>44544</v>
      </c>
      <c r="B566" s="3">
        <v>26577</v>
      </c>
      <c r="C566" s="3">
        <v>26555</v>
      </c>
      <c r="D566" s="3">
        <v>26750</v>
      </c>
      <c r="E566" s="3">
        <v>26490</v>
      </c>
      <c r="F566" s="3">
        <v>45530</v>
      </c>
      <c r="G566" s="7">
        <f t="shared" si="80"/>
        <v>1</v>
      </c>
      <c r="H566" s="5">
        <f t="shared" si="75"/>
        <v>1.0546536592715356E-3</v>
      </c>
      <c r="I566" s="4">
        <f t="shared" si="76"/>
        <v>-1.1355174981384959E-2</v>
      </c>
      <c r="J566" s="4">
        <f t="shared" si="77"/>
        <v>-7.2369641863054366E-3</v>
      </c>
      <c r="K566" s="4">
        <f t="shared" si="78"/>
        <v>-7.5443228970199924E-4</v>
      </c>
      <c r="L566" s="4">
        <f t="shared" si="79"/>
        <v>0.16623975409836064</v>
      </c>
      <c r="M566" s="3">
        <f t="shared" si="72"/>
        <v>12</v>
      </c>
      <c r="N566" s="3">
        <f t="shared" si="73"/>
        <v>14</v>
      </c>
      <c r="O566" s="3">
        <f t="shared" si="74"/>
        <v>2</v>
      </c>
    </row>
    <row r="567" spans="1:15" x14ac:dyDescent="0.2">
      <c r="A567" s="2">
        <v>44545</v>
      </c>
      <c r="B567" s="3">
        <v>26675</v>
      </c>
      <c r="C567" s="3">
        <v>26595</v>
      </c>
      <c r="D567" s="3">
        <v>26950</v>
      </c>
      <c r="E567" s="3">
        <v>26540</v>
      </c>
      <c r="F567" s="3">
        <v>28230</v>
      </c>
      <c r="G567" s="7">
        <f t="shared" si="80"/>
        <v>1</v>
      </c>
      <c r="H567" s="5">
        <f t="shared" si="75"/>
        <v>3.6873988787297289E-3</v>
      </c>
      <c r="I567" s="4">
        <f t="shared" si="76"/>
        <v>1.5063076633402373E-3</v>
      </c>
      <c r="J567" s="4">
        <f t="shared" si="77"/>
        <v>7.4766355140186919E-3</v>
      </c>
      <c r="K567" s="4">
        <f t="shared" si="78"/>
        <v>1.887504718761797E-3</v>
      </c>
      <c r="L567" s="4">
        <f t="shared" si="79"/>
        <v>-0.37996925104326817</v>
      </c>
      <c r="M567" s="3">
        <f t="shared" si="72"/>
        <v>12</v>
      </c>
      <c r="N567" s="3">
        <f t="shared" si="73"/>
        <v>15</v>
      </c>
      <c r="O567" s="3">
        <f t="shared" si="74"/>
        <v>3</v>
      </c>
    </row>
    <row r="568" spans="1:15" x14ac:dyDescent="0.2">
      <c r="A568" s="2">
        <v>44546</v>
      </c>
      <c r="B568" s="3">
        <v>26805</v>
      </c>
      <c r="C568" s="3">
        <v>27005</v>
      </c>
      <c r="D568" s="3">
        <v>27075</v>
      </c>
      <c r="E568" s="3">
        <v>26560</v>
      </c>
      <c r="F568" s="3">
        <v>21910</v>
      </c>
      <c r="G568" s="7">
        <f t="shared" si="80"/>
        <v>1</v>
      </c>
      <c r="H568" s="5">
        <f t="shared" si="75"/>
        <v>4.8734770384254921E-3</v>
      </c>
      <c r="I568" s="4">
        <f t="shared" si="76"/>
        <v>1.5416431660086483E-2</v>
      </c>
      <c r="J568" s="4">
        <f t="shared" si="77"/>
        <v>4.6382189239332098E-3</v>
      </c>
      <c r="K568" s="4">
        <f t="shared" si="78"/>
        <v>7.5357950263752827E-4</v>
      </c>
      <c r="L568" s="4">
        <f t="shared" si="79"/>
        <v>-0.22387530995394969</v>
      </c>
      <c r="M568" s="3">
        <f t="shared" si="72"/>
        <v>12</v>
      </c>
      <c r="N568" s="3">
        <f t="shared" si="73"/>
        <v>16</v>
      </c>
      <c r="O568" s="3">
        <f t="shared" si="74"/>
        <v>4</v>
      </c>
    </row>
    <row r="569" spans="1:15" x14ac:dyDescent="0.2">
      <c r="A569" s="2">
        <v>44547</v>
      </c>
      <c r="B569" s="3">
        <v>26569</v>
      </c>
      <c r="C569" s="3">
        <v>26545</v>
      </c>
      <c r="D569" s="3">
        <v>26665</v>
      </c>
      <c r="E569" s="3">
        <v>26545</v>
      </c>
      <c r="F569" s="3">
        <v>130</v>
      </c>
      <c r="G569" s="7">
        <f t="shared" si="80"/>
        <v>0</v>
      </c>
      <c r="H569" s="5">
        <f t="shared" si="75"/>
        <v>-8.8043275508300697E-3</v>
      </c>
      <c r="I569" s="4">
        <f t="shared" si="76"/>
        <v>-1.703388261433068E-2</v>
      </c>
      <c r="J569" s="4">
        <f t="shared" si="77"/>
        <v>-1.5143120960295476E-2</v>
      </c>
      <c r="K569" s="4">
        <f t="shared" si="78"/>
        <v>-5.6475903614457829E-4</v>
      </c>
      <c r="L569" s="4">
        <f t="shared" si="79"/>
        <v>-0.99406663623916025</v>
      </c>
      <c r="M569" s="3">
        <f t="shared" si="72"/>
        <v>12</v>
      </c>
      <c r="N569" s="3">
        <f t="shared" si="73"/>
        <v>17</v>
      </c>
      <c r="O569" s="3">
        <f t="shared" si="74"/>
        <v>5</v>
      </c>
    </row>
    <row r="570" spans="1:15" x14ac:dyDescent="0.2">
      <c r="A570" s="2">
        <v>44550</v>
      </c>
      <c r="B570" s="3">
        <v>26073</v>
      </c>
      <c r="C570" s="3">
        <v>25930</v>
      </c>
      <c r="D570" s="3">
        <v>26240</v>
      </c>
      <c r="E570" s="3">
        <v>25655</v>
      </c>
      <c r="F570" s="3">
        <v>18560</v>
      </c>
      <c r="G570" s="7">
        <f t="shared" si="80"/>
        <v>0</v>
      </c>
      <c r="H570" s="5">
        <f t="shared" si="75"/>
        <v>-1.8668372915804133E-2</v>
      </c>
      <c r="I570" s="4">
        <f t="shared" si="76"/>
        <v>-2.316820493501601E-2</v>
      </c>
      <c r="J570" s="4">
        <f t="shared" si="77"/>
        <v>-1.593849615600975E-2</v>
      </c>
      <c r="K570" s="4">
        <f t="shared" si="78"/>
        <v>-3.3527971369372765E-2</v>
      </c>
      <c r="L570" s="4">
        <f t="shared" si="79"/>
        <v>141.76923076923077</v>
      </c>
      <c r="M570" s="3">
        <f t="shared" si="72"/>
        <v>12</v>
      </c>
      <c r="N570" s="3">
        <f t="shared" si="73"/>
        <v>20</v>
      </c>
      <c r="O570" s="3">
        <f t="shared" si="74"/>
        <v>1</v>
      </c>
    </row>
    <row r="571" spans="1:15" x14ac:dyDescent="0.2">
      <c r="A571" s="2">
        <v>44551</v>
      </c>
      <c r="B571" s="3">
        <v>26513</v>
      </c>
      <c r="C571" s="3">
        <v>26380</v>
      </c>
      <c r="D571" s="3">
        <v>26640</v>
      </c>
      <c r="E571" s="3">
        <v>26170</v>
      </c>
      <c r="F571" s="3">
        <v>13390</v>
      </c>
      <c r="G571" s="7">
        <f t="shared" si="80"/>
        <v>1</v>
      </c>
      <c r="H571" s="5">
        <f t="shared" si="75"/>
        <v>1.6875695163579181E-2</v>
      </c>
      <c r="I571" s="4">
        <f t="shared" si="76"/>
        <v>1.7354415734670267E-2</v>
      </c>
      <c r="J571" s="4">
        <f t="shared" si="77"/>
        <v>1.524390243902439E-2</v>
      </c>
      <c r="K571" s="4">
        <f t="shared" si="78"/>
        <v>2.0074059637497563E-2</v>
      </c>
      <c r="L571" s="4">
        <f t="shared" si="79"/>
        <v>-0.27855603448275862</v>
      </c>
      <c r="M571" s="3">
        <f t="shared" si="72"/>
        <v>12</v>
      </c>
      <c r="N571" s="3">
        <f t="shared" si="73"/>
        <v>21</v>
      </c>
      <c r="O571" s="3">
        <f t="shared" si="74"/>
        <v>2</v>
      </c>
    </row>
    <row r="572" spans="1:15" x14ac:dyDescent="0.2">
      <c r="A572" s="2">
        <v>44552</v>
      </c>
      <c r="B572" s="3">
        <v>26694</v>
      </c>
      <c r="C572" s="3">
        <v>26575</v>
      </c>
      <c r="D572" s="3">
        <v>26755</v>
      </c>
      <c r="E572" s="3">
        <v>26410</v>
      </c>
      <c r="F572" s="3">
        <v>10650</v>
      </c>
      <c r="G572" s="7">
        <f t="shared" si="80"/>
        <v>1</v>
      </c>
      <c r="H572" s="5">
        <f t="shared" si="75"/>
        <v>6.8268396635612722E-3</v>
      </c>
      <c r="I572" s="4">
        <f t="shared" si="76"/>
        <v>7.3919636087945413E-3</v>
      </c>
      <c r="J572" s="4">
        <f t="shared" si="77"/>
        <v>4.3168168168168167E-3</v>
      </c>
      <c r="K572" s="4">
        <f t="shared" si="78"/>
        <v>9.1708062667176151E-3</v>
      </c>
      <c r="L572" s="4">
        <f t="shared" si="79"/>
        <v>-0.20463032113517551</v>
      </c>
      <c r="M572" s="3">
        <f t="shared" si="72"/>
        <v>12</v>
      </c>
      <c r="N572" s="3">
        <f t="shared" si="73"/>
        <v>22</v>
      </c>
      <c r="O572" s="3">
        <f t="shared" si="74"/>
        <v>3</v>
      </c>
    </row>
    <row r="573" spans="1:15" x14ac:dyDescent="0.2">
      <c r="A573" s="2">
        <v>44553</v>
      </c>
      <c r="B573" s="3">
        <v>26877</v>
      </c>
      <c r="C573" s="3">
        <v>26760</v>
      </c>
      <c r="D573" s="3">
        <v>26930</v>
      </c>
      <c r="E573" s="3">
        <v>26685</v>
      </c>
      <c r="F573" s="3">
        <v>9300</v>
      </c>
      <c r="G573" s="7">
        <f t="shared" si="80"/>
        <v>1</v>
      </c>
      <c r="H573" s="5">
        <f t="shared" si="75"/>
        <v>6.8554731400314681E-3</v>
      </c>
      <c r="I573" s="4">
        <f t="shared" si="76"/>
        <v>6.9614299153339604E-3</v>
      </c>
      <c r="J573" s="4">
        <f t="shared" si="77"/>
        <v>6.5408334890674638E-3</v>
      </c>
      <c r="K573" s="4">
        <f t="shared" si="78"/>
        <v>1.0412722453616054E-2</v>
      </c>
      <c r="L573" s="4">
        <f t="shared" si="79"/>
        <v>-0.12676056338028169</v>
      </c>
      <c r="M573" s="3">
        <f t="shared" si="72"/>
        <v>12</v>
      </c>
      <c r="N573" s="3">
        <f t="shared" si="73"/>
        <v>23</v>
      </c>
      <c r="O573" s="3">
        <f t="shared" si="74"/>
        <v>4</v>
      </c>
    </row>
    <row r="574" spans="1:15" x14ac:dyDescent="0.2">
      <c r="A574" s="2">
        <v>44557</v>
      </c>
      <c r="B574" s="3">
        <v>27107</v>
      </c>
      <c r="C574" s="3">
        <v>26845</v>
      </c>
      <c r="D574" s="3">
        <v>27210</v>
      </c>
      <c r="E574" s="3">
        <v>26735</v>
      </c>
      <c r="F574" s="3">
        <v>7090</v>
      </c>
      <c r="G574" s="7">
        <f t="shared" si="80"/>
        <v>1</v>
      </c>
      <c r="H574" s="5">
        <f t="shared" si="75"/>
        <v>8.5575026974736759E-3</v>
      </c>
      <c r="I574" s="4">
        <f t="shared" si="76"/>
        <v>3.1763826606875933E-3</v>
      </c>
      <c r="J574" s="4">
        <f t="shared" si="77"/>
        <v>1.0397326401782399E-2</v>
      </c>
      <c r="K574" s="4">
        <f t="shared" si="78"/>
        <v>1.873711823121604E-3</v>
      </c>
      <c r="L574" s="4">
        <f t="shared" si="79"/>
        <v>-0.23763440860215054</v>
      </c>
      <c r="M574" s="3">
        <f t="shared" si="72"/>
        <v>12</v>
      </c>
      <c r="N574" s="3">
        <f t="shared" si="73"/>
        <v>27</v>
      </c>
      <c r="O574" s="3">
        <f t="shared" si="74"/>
        <v>1</v>
      </c>
    </row>
    <row r="575" spans="1:15" x14ac:dyDescent="0.2">
      <c r="A575" s="2">
        <v>44558</v>
      </c>
      <c r="B575" s="3">
        <v>27334</v>
      </c>
      <c r="C575" s="3">
        <v>27180</v>
      </c>
      <c r="D575" s="3">
        <v>27380</v>
      </c>
      <c r="E575" s="3">
        <v>27110</v>
      </c>
      <c r="F575" s="3">
        <v>8320</v>
      </c>
      <c r="G575" s="7">
        <f t="shared" si="80"/>
        <v>1</v>
      </c>
      <c r="H575" s="5">
        <f t="shared" si="75"/>
        <v>8.3742206810049069E-3</v>
      </c>
      <c r="I575" s="4">
        <f t="shared" si="76"/>
        <v>1.2479046377351461E-2</v>
      </c>
      <c r="J575" s="4">
        <f t="shared" si="77"/>
        <v>6.2477030503491366E-3</v>
      </c>
      <c r="K575" s="4">
        <f t="shared" si="78"/>
        <v>1.4026556947821208E-2</v>
      </c>
      <c r="L575" s="4">
        <f t="shared" si="79"/>
        <v>0.17348377997179126</v>
      </c>
      <c r="M575" s="3">
        <f t="shared" si="72"/>
        <v>12</v>
      </c>
      <c r="N575" s="3">
        <f t="shared" si="73"/>
        <v>28</v>
      </c>
      <c r="O575" s="3">
        <f t="shared" si="74"/>
        <v>2</v>
      </c>
    </row>
    <row r="576" spans="1:15" x14ac:dyDescent="0.2">
      <c r="A576" s="2">
        <v>44559</v>
      </c>
      <c r="B576" s="3">
        <v>27218</v>
      </c>
      <c r="C576" s="3">
        <v>27330</v>
      </c>
      <c r="D576" s="3">
        <v>27365</v>
      </c>
      <c r="E576" s="3">
        <v>27135</v>
      </c>
      <c r="F576" s="3">
        <v>8170</v>
      </c>
      <c r="G576" s="7">
        <f t="shared" si="80"/>
        <v>0</v>
      </c>
      <c r="H576" s="5">
        <f t="shared" si="75"/>
        <v>-4.2437989317333728E-3</v>
      </c>
      <c r="I576" s="4">
        <f t="shared" si="76"/>
        <v>5.5187637969094927E-3</v>
      </c>
      <c r="J576" s="4">
        <f t="shared" si="77"/>
        <v>-5.4784514243973702E-4</v>
      </c>
      <c r="K576" s="4">
        <f t="shared" si="78"/>
        <v>9.2216894135005532E-4</v>
      </c>
      <c r="L576" s="4">
        <f t="shared" si="79"/>
        <v>-1.8028846153846152E-2</v>
      </c>
      <c r="M576" s="3">
        <f t="shared" si="72"/>
        <v>12</v>
      </c>
      <c r="N576" s="3">
        <f t="shared" si="73"/>
        <v>29</v>
      </c>
      <c r="O576" s="3">
        <f t="shared" si="74"/>
        <v>3</v>
      </c>
    </row>
    <row r="577" spans="1:15" x14ac:dyDescent="0.2">
      <c r="A577" s="2">
        <v>44560</v>
      </c>
      <c r="B577" s="3">
        <v>27248</v>
      </c>
      <c r="C577" s="3">
        <v>27250</v>
      </c>
      <c r="D577" s="3">
        <v>27305</v>
      </c>
      <c r="E577" s="3">
        <v>27160</v>
      </c>
      <c r="F577" s="3">
        <v>7050</v>
      </c>
      <c r="G577" s="7">
        <f t="shared" si="80"/>
        <v>1</v>
      </c>
      <c r="H577" s="5">
        <f t="shared" si="75"/>
        <v>1.102211771621721E-3</v>
      </c>
      <c r="I577" s="4">
        <f t="shared" si="76"/>
        <v>-2.9271862422246614E-3</v>
      </c>
      <c r="J577" s="4">
        <f t="shared" si="77"/>
        <v>-2.1925817650283209E-3</v>
      </c>
      <c r="K577" s="4">
        <f t="shared" si="78"/>
        <v>9.2131932927952832E-4</v>
      </c>
      <c r="L577" s="4">
        <f t="shared" si="79"/>
        <v>-0.13708690330477355</v>
      </c>
      <c r="M577" s="3">
        <f t="shared" si="72"/>
        <v>12</v>
      </c>
      <c r="N577" s="3">
        <f t="shared" si="73"/>
        <v>30</v>
      </c>
      <c r="O577" s="3">
        <f t="shared" si="74"/>
        <v>4</v>
      </c>
    </row>
    <row r="578" spans="1:15" x14ac:dyDescent="0.2">
      <c r="A578" s="2">
        <v>44564</v>
      </c>
      <c r="B578" s="3">
        <v>27616</v>
      </c>
      <c r="C578" s="3">
        <v>27250</v>
      </c>
      <c r="D578" s="3">
        <v>27735</v>
      </c>
      <c r="E578" s="3">
        <v>27190</v>
      </c>
      <c r="F578" s="3">
        <v>12900</v>
      </c>
      <c r="G578" s="7">
        <f t="shared" si="80"/>
        <v>1</v>
      </c>
      <c r="H578" s="5">
        <f t="shared" si="75"/>
        <v>1.3505578391074574E-2</v>
      </c>
      <c r="I578" s="4">
        <f t="shared" si="76"/>
        <v>0</v>
      </c>
      <c r="J578" s="4">
        <f t="shared" si="77"/>
        <v>1.5748031496062992E-2</v>
      </c>
      <c r="K578" s="4">
        <f t="shared" si="78"/>
        <v>1.1045655375552283E-3</v>
      </c>
      <c r="L578" s="4">
        <f t="shared" si="79"/>
        <v>0.82978723404255317</v>
      </c>
      <c r="M578" s="3">
        <f t="shared" ref="M578:M641" si="81">MONTH(A578)</f>
        <v>1</v>
      </c>
      <c r="N578" s="3">
        <f t="shared" ref="N578:N641" si="82">DAY(A578)</f>
        <v>3</v>
      </c>
      <c r="O578" s="3">
        <f t="shared" ref="O578:O641" si="83">WEEKDAY(A578,2)</f>
        <v>1</v>
      </c>
    </row>
    <row r="579" spans="1:15" x14ac:dyDescent="0.2">
      <c r="A579" s="2">
        <v>44565</v>
      </c>
      <c r="B579" s="3">
        <v>27802</v>
      </c>
      <c r="C579" s="3">
        <v>27740</v>
      </c>
      <c r="D579" s="3">
        <v>27960</v>
      </c>
      <c r="E579" s="3">
        <v>27635</v>
      </c>
      <c r="F579" s="3">
        <v>15260</v>
      </c>
      <c r="G579" s="7">
        <f t="shared" si="80"/>
        <v>1</v>
      </c>
      <c r="H579" s="5">
        <f t="shared" ref="H579:H642" si="84">(B579-B578)/B578</f>
        <v>6.7352259559675552E-3</v>
      </c>
      <c r="I579" s="4">
        <f t="shared" ref="I579:I642" si="85">(C579-C578)/C578</f>
        <v>1.7981651376146789E-2</v>
      </c>
      <c r="J579" s="4">
        <f t="shared" ref="J579:J642" si="86">(D579-D578)/D578</f>
        <v>8.1124932395889669E-3</v>
      </c>
      <c r="K579" s="4">
        <f t="shared" ref="K579:K642" si="87">(E579-E578)/E578</f>
        <v>1.636631114380287E-2</v>
      </c>
      <c r="L579" s="4">
        <f t="shared" ref="L579:L642" si="88">(F579-F578)/F578</f>
        <v>0.18294573643410852</v>
      </c>
      <c r="M579" s="3">
        <f t="shared" si="81"/>
        <v>1</v>
      </c>
      <c r="N579" s="3">
        <f t="shared" si="82"/>
        <v>4</v>
      </c>
      <c r="O579" s="3">
        <f t="shared" si="83"/>
        <v>2</v>
      </c>
    </row>
    <row r="580" spans="1:15" x14ac:dyDescent="0.2">
      <c r="A580" s="2">
        <v>44566</v>
      </c>
      <c r="B580" s="3">
        <v>28031</v>
      </c>
      <c r="C580" s="3">
        <v>27810</v>
      </c>
      <c r="D580" s="3">
        <v>28095</v>
      </c>
      <c r="E580" s="3">
        <v>27680</v>
      </c>
      <c r="F580" s="3">
        <v>14560</v>
      </c>
      <c r="G580" s="7">
        <f t="shared" ref="G580:G643" si="89">IF(H580&lt;0, 0, 1)</f>
        <v>1</v>
      </c>
      <c r="H580" s="5">
        <f t="shared" si="84"/>
        <v>8.2368174951442351E-3</v>
      </c>
      <c r="I580" s="4">
        <f t="shared" si="85"/>
        <v>2.5234318673395817E-3</v>
      </c>
      <c r="J580" s="4">
        <f t="shared" si="86"/>
        <v>4.8283261802575111E-3</v>
      </c>
      <c r="K580" s="4">
        <f t="shared" si="87"/>
        <v>1.6283698208793198E-3</v>
      </c>
      <c r="L580" s="4">
        <f t="shared" si="88"/>
        <v>-4.5871559633027525E-2</v>
      </c>
      <c r="M580" s="3">
        <f t="shared" si="81"/>
        <v>1</v>
      </c>
      <c r="N580" s="3">
        <f t="shared" si="82"/>
        <v>5</v>
      </c>
      <c r="O580" s="3">
        <f t="shared" si="83"/>
        <v>3</v>
      </c>
    </row>
    <row r="581" spans="1:15" x14ac:dyDescent="0.2">
      <c r="A581" s="2">
        <v>44567</v>
      </c>
      <c r="B581" s="3">
        <v>27541</v>
      </c>
      <c r="C581" s="3">
        <v>27555</v>
      </c>
      <c r="D581" s="3">
        <v>27820</v>
      </c>
      <c r="E581" s="3">
        <v>27465</v>
      </c>
      <c r="F581" s="3">
        <v>24260</v>
      </c>
      <c r="G581" s="7">
        <f t="shared" si="89"/>
        <v>0</v>
      </c>
      <c r="H581" s="5">
        <f t="shared" si="84"/>
        <v>-1.748064642716992E-2</v>
      </c>
      <c r="I581" s="4">
        <f t="shared" si="85"/>
        <v>-9.1693635382955763E-3</v>
      </c>
      <c r="J581" s="4">
        <f t="shared" si="86"/>
        <v>-9.7882185442249511E-3</v>
      </c>
      <c r="K581" s="4">
        <f t="shared" si="87"/>
        <v>-7.7673410404624273E-3</v>
      </c>
      <c r="L581" s="4">
        <f t="shared" si="88"/>
        <v>0.66620879120879117</v>
      </c>
      <c r="M581" s="3">
        <f t="shared" si="81"/>
        <v>1</v>
      </c>
      <c r="N581" s="3">
        <f t="shared" si="82"/>
        <v>6</v>
      </c>
      <c r="O581" s="3">
        <f t="shared" si="83"/>
        <v>4</v>
      </c>
    </row>
    <row r="582" spans="1:15" x14ac:dyDescent="0.2">
      <c r="A582" s="2">
        <v>44568</v>
      </c>
      <c r="B582" s="3">
        <v>27461</v>
      </c>
      <c r="C582" s="3">
        <v>27640</v>
      </c>
      <c r="D582" s="3">
        <v>27720</v>
      </c>
      <c r="E582" s="3">
        <v>27315</v>
      </c>
      <c r="F582" s="3">
        <v>19110</v>
      </c>
      <c r="G582" s="7">
        <f t="shared" si="89"/>
        <v>0</v>
      </c>
      <c r="H582" s="5">
        <f t="shared" si="84"/>
        <v>-2.9047601757379907E-3</v>
      </c>
      <c r="I582" s="4">
        <f t="shared" si="85"/>
        <v>3.0847396116857194E-3</v>
      </c>
      <c r="J582" s="4">
        <f t="shared" si="86"/>
        <v>-3.5945363048166786E-3</v>
      </c>
      <c r="K582" s="4">
        <f t="shared" si="87"/>
        <v>-5.4614964500273077E-3</v>
      </c>
      <c r="L582" s="4">
        <f t="shared" si="88"/>
        <v>-0.2122835943940643</v>
      </c>
      <c r="M582" s="3">
        <f t="shared" si="81"/>
        <v>1</v>
      </c>
      <c r="N582" s="3">
        <f t="shared" si="82"/>
        <v>7</v>
      </c>
      <c r="O582" s="3">
        <f t="shared" si="83"/>
        <v>5</v>
      </c>
    </row>
    <row r="583" spans="1:15" x14ac:dyDescent="0.2">
      <c r="A583" s="2">
        <v>44571</v>
      </c>
      <c r="B583" s="3">
        <v>27255</v>
      </c>
      <c r="C583" s="3">
        <v>27525</v>
      </c>
      <c r="D583" s="3">
        <v>27665</v>
      </c>
      <c r="E583" s="3">
        <v>27145</v>
      </c>
      <c r="F583" s="3">
        <v>14630</v>
      </c>
      <c r="G583" s="7">
        <f t="shared" si="89"/>
        <v>0</v>
      </c>
      <c r="H583" s="5">
        <f t="shared" si="84"/>
        <v>-7.5015476493936854E-3</v>
      </c>
      <c r="I583" s="4">
        <f t="shared" si="85"/>
        <v>-4.1606367583212735E-3</v>
      </c>
      <c r="J583" s="4">
        <f t="shared" si="86"/>
        <v>-1.984126984126984E-3</v>
      </c>
      <c r="K583" s="4">
        <f t="shared" si="87"/>
        <v>-6.2236866190737688E-3</v>
      </c>
      <c r="L583" s="4">
        <f t="shared" si="88"/>
        <v>-0.23443223443223443</v>
      </c>
      <c r="M583" s="3">
        <f t="shared" si="81"/>
        <v>1</v>
      </c>
      <c r="N583" s="3">
        <f t="shared" si="82"/>
        <v>10</v>
      </c>
      <c r="O583" s="3">
        <f t="shared" si="83"/>
        <v>1</v>
      </c>
    </row>
    <row r="584" spans="1:15" x14ac:dyDescent="0.2">
      <c r="A584" s="2">
        <v>44572</v>
      </c>
      <c r="B584" s="3">
        <v>27404</v>
      </c>
      <c r="C584" s="3">
        <v>27390</v>
      </c>
      <c r="D584" s="3">
        <v>27530</v>
      </c>
      <c r="E584" s="3">
        <v>27310</v>
      </c>
      <c r="F584" s="3">
        <v>12690</v>
      </c>
      <c r="G584" s="7">
        <f t="shared" si="89"/>
        <v>1</v>
      </c>
      <c r="H584" s="5">
        <f t="shared" si="84"/>
        <v>5.4668868097596775E-3</v>
      </c>
      <c r="I584" s="4">
        <f t="shared" si="85"/>
        <v>-4.9046321525885563E-3</v>
      </c>
      <c r="J584" s="4">
        <f t="shared" si="86"/>
        <v>-4.8798120368696912E-3</v>
      </c>
      <c r="K584" s="4">
        <f t="shared" si="87"/>
        <v>6.0784674894087311E-3</v>
      </c>
      <c r="L584" s="4">
        <f t="shared" si="88"/>
        <v>-0.13260423786739575</v>
      </c>
      <c r="M584" s="3">
        <f t="shared" si="81"/>
        <v>1</v>
      </c>
      <c r="N584" s="3">
        <f t="shared" si="82"/>
        <v>11</v>
      </c>
      <c r="O584" s="3">
        <f t="shared" si="83"/>
        <v>2</v>
      </c>
    </row>
    <row r="585" spans="1:15" x14ac:dyDescent="0.2">
      <c r="A585" s="2">
        <v>44573</v>
      </c>
      <c r="B585" s="3">
        <v>27583</v>
      </c>
      <c r="C585" s="3">
        <v>27595</v>
      </c>
      <c r="D585" s="3">
        <v>27620</v>
      </c>
      <c r="E585" s="3">
        <v>27380</v>
      </c>
      <c r="F585" s="3">
        <v>12110</v>
      </c>
      <c r="G585" s="7">
        <f t="shared" si="89"/>
        <v>1</v>
      </c>
      <c r="H585" s="5">
        <f t="shared" si="84"/>
        <v>6.531893154284046E-3</v>
      </c>
      <c r="I585" s="4">
        <f t="shared" si="85"/>
        <v>7.4844833880978456E-3</v>
      </c>
      <c r="J585" s="4">
        <f t="shared" si="86"/>
        <v>3.2691609153650564E-3</v>
      </c>
      <c r="K585" s="4">
        <f t="shared" si="87"/>
        <v>2.5631636763090442E-3</v>
      </c>
      <c r="L585" s="4">
        <f t="shared" si="88"/>
        <v>-4.5705279747832936E-2</v>
      </c>
      <c r="M585" s="3">
        <f t="shared" si="81"/>
        <v>1</v>
      </c>
      <c r="N585" s="3">
        <f t="shared" si="82"/>
        <v>12</v>
      </c>
      <c r="O585" s="3">
        <f t="shared" si="83"/>
        <v>3</v>
      </c>
    </row>
    <row r="586" spans="1:15" x14ac:dyDescent="0.2">
      <c r="A586" s="2">
        <v>44574</v>
      </c>
      <c r="B586" s="3">
        <v>27710</v>
      </c>
      <c r="C586" s="3">
        <v>27560</v>
      </c>
      <c r="D586" s="3">
        <v>27775</v>
      </c>
      <c r="E586" s="3">
        <v>27480</v>
      </c>
      <c r="F586" s="3">
        <v>13100</v>
      </c>
      <c r="G586" s="7">
        <f t="shared" si="89"/>
        <v>1</v>
      </c>
      <c r="H586" s="5">
        <f t="shared" si="84"/>
        <v>4.6042852481600989E-3</v>
      </c>
      <c r="I586" s="4">
        <f t="shared" si="85"/>
        <v>-1.2683457148034065E-3</v>
      </c>
      <c r="J586" s="4">
        <f t="shared" si="86"/>
        <v>5.6118754525706013E-3</v>
      </c>
      <c r="K586" s="4">
        <f t="shared" si="87"/>
        <v>3.6523009495982471E-3</v>
      </c>
      <c r="L586" s="4">
        <f t="shared" si="88"/>
        <v>8.1750619322873655E-2</v>
      </c>
      <c r="M586" s="3">
        <f t="shared" si="81"/>
        <v>1</v>
      </c>
      <c r="N586" s="3">
        <f t="shared" si="82"/>
        <v>13</v>
      </c>
      <c r="O586" s="3">
        <f t="shared" si="83"/>
        <v>4</v>
      </c>
    </row>
    <row r="587" spans="1:15" x14ac:dyDescent="0.2">
      <c r="A587" s="2">
        <v>44575</v>
      </c>
      <c r="B587" s="3">
        <v>27415</v>
      </c>
      <c r="C587" s="3">
        <v>27545</v>
      </c>
      <c r="D587" s="3">
        <v>27610</v>
      </c>
      <c r="E587" s="3">
        <v>27290</v>
      </c>
      <c r="F587" s="3">
        <v>14530</v>
      </c>
      <c r="G587" s="7">
        <f t="shared" si="89"/>
        <v>0</v>
      </c>
      <c r="H587" s="5">
        <f t="shared" si="84"/>
        <v>-1.0645976181883796E-2</v>
      </c>
      <c r="I587" s="4">
        <f t="shared" si="85"/>
        <v>-5.4426705370101594E-4</v>
      </c>
      <c r="J587" s="4">
        <f t="shared" si="86"/>
        <v>-5.9405940594059407E-3</v>
      </c>
      <c r="K587" s="4">
        <f t="shared" si="87"/>
        <v>-6.9141193595342069E-3</v>
      </c>
      <c r="L587" s="4">
        <f t="shared" si="88"/>
        <v>0.10916030534351145</v>
      </c>
      <c r="M587" s="3">
        <f t="shared" si="81"/>
        <v>1</v>
      </c>
      <c r="N587" s="3">
        <f t="shared" si="82"/>
        <v>14</v>
      </c>
      <c r="O587" s="3">
        <f t="shared" si="83"/>
        <v>5</v>
      </c>
    </row>
    <row r="588" spans="1:15" x14ac:dyDescent="0.2">
      <c r="A588" s="2">
        <v>44578</v>
      </c>
      <c r="B588" s="3">
        <v>27548</v>
      </c>
      <c r="C588" s="3">
        <v>27495</v>
      </c>
      <c r="D588" s="3">
        <v>27580</v>
      </c>
      <c r="E588" s="3">
        <v>27445</v>
      </c>
      <c r="F588" s="3">
        <v>7700</v>
      </c>
      <c r="G588" s="7">
        <f t="shared" si="89"/>
        <v>1</v>
      </c>
      <c r="H588" s="5">
        <f t="shared" si="84"/>
        <v>4.8513587452124751E-3</v>
      </c>
      <c r="I588" s="4">
        <f t="shared" si="85"/>
        <v>-1.8152114721365039E-3</v>
      </c>
      <c r="J588" s="4">
        <f t="shared" si="86"/>
        <v>-1.0865628395508873E-3</v>
      </c>
      <c r="K588" s="4">
        <f t="shared" si="87"/>
        <v>5.6797361670941739E-3</v>
      </c>
      <c r="L588" s="4">
        <f t="shared" si="88"/>
        <v>-0.47006194081211289</v>
      </c>
      <c r="M588" s="3">
        <f t="shared" si="81"/>
        <v>1</v>
      </c>
      <c r="N588" s="3">
        <f t="shared" si="82"/>
        <v>17</v>
      </c>
      <c r="O588" s="3">
        <f t="shared" si="83"/>
        <v>1</v>
      </c>
    </row>
    <row r="589" spans="1:15" x14ac:dyDescent="0.2">
      <c r="A589" s="2">
        <v>44579</v>
      </c>
      <c r="B589" s="3">
        <v>27348</v>
      </c>
      <c r="C589" s="3">
        <v>27460</v>
      </c>
      <c r="D589" s="3">
        <v>27495</v>
      </c>
      <c r="E589" s="3">
        <v>27170</v>
      </c>
      <c r="F589" s="3">
        <v>19410</v>
      </c>
      <c r="G589" s="7">
        <f t="shared" si="89"/>
        <v>0</v>
      </c>
      <c r="H589" s="5">
        <f t="shared" si="84"/>
        <v>-7.2600551764193406E-3</v>
      </c>
      <c r="I589" s="4">
        <f t="shared" si="85"/>
        <v>-1.2729587197672304E-3</v>
      </c>
      <c r="J589" s="4">
        <f t="shared" si="86"/>
        <v>-3.0819434372733865E-3</v>
      </c>
      <c r="K589" s="4">
        <f t="shared" si="87"/>
        <v>-1.002004008016032E-2</v>
      </c>
      <c r="L589" s="4">
        <f t="shared" si="88"/>
        <v>1.5207792207792208</v>
      </c>
      <c r="M589" s="3">
        <f t="shared" si="81"/>
        <v>1</v>
      </c>
      <c r="N589" s="3">
        <f t="shared" si="82"/>
        <v>18</v>
      </c>
      <c r="O589" s="3">
        <f t="shared" si="83"/>
        <v>2</v>
      </c>
    </row>
    <row r="590" spans="1:15" x14ac:dyDescent="0.2">
      <c r="A590" s="2">
        <v>44580</v>
      </c>
      <c r="B590" s="3">
        <v>27235</v>
      </c>
      <c r="C590" s="3">
        <v>27240</v>
      </c>
      <c r="D590" s="3">
        <v>27435</v>
      </c>
      <c r="E590" s="3">
        <v>27090</v>
      </c>
      <c r="F590" s="3">
        <v>17360</v>
      </c>
      <c r="G590" s="7">
        <f t="shared" si="89"/>
        <v>0</v>
      </c>
      <c r="H590" s="5">
        <f t="shared" si="84"/>
        <v>-4.1319292087172738E-3</v>
      </c>
      <c r="I590" s="4">
        <f t="shared" si="85"/>
        <v>-8.0116533139111441E-3</v>
      </c>
      <c r="J590" s="4">
        <f t="shared" si="86"/>
        <v>-2.1822149481723948E-3</v>
      </c>
      <c r="K590" s="4">
        <f t="shared" si="87"/>
        <v>-2.944423997055576E-3</v>
      </c>
      <c r="L590" s="4">
        <f t="shared" si="88"/>
        <v>-0.1056156620298815</v>
      </c>
      <c r="M590" s="3">
        <f t="shared" si="81"/>
        <v>1</v>
      </c>
      <c r="N590" s="3">
        <f t="shared" si="82"/>
        <v>19</v>
      </c>
      <c r="O590" s="3">
        <f t="shared" si="83"/>
        <v>3</v>
      </c>
    </row>
    <row r="591" spans="1:15" x14ac:dyDescent="0.2">
      <c r="A591" s="2">
        <v>44581</v>
      </c>
      <c r="B591" s="3">
        <v>27443</v>
      </c>
      <c r="C591" s="3">
        <v>27310</v>
      </c>
      <c r="D591" s="3">
        <v>27465</v>
      </c>
      <c r="E591" s="3">
        <v>27065</v>
      </c>
      <c r="F591" s="3">
        <v>13620</v>
      </c>
      <c r="G591" s="7">
        <f t="shared" si="89"/>
        <v>1</v>
      </c>
      <c r="H591" s="5">
        <f t="shared" si="84"/>
        <v>7.6372315035799524E-3</v>
      </c>
      <c r="I591" s="4">
        <f t="shared" si="85"/>
        <v>2.5697503671071953E-3</v>
      </c>
      <c r="J591" s="4">
        <f t="shared" si="86"/>
        <v>1.0934937124111536E-3</v>
      </c>
      <c r="K591" s="4">
        <f t="shared" si="87"/>
        <v>-9.2284976005906235E-4</v>
      </c>
      <c r="L591" s="4">
        <f t="shared" si="88"/>
        <v>-0.21543778801843319</v>
      </c>
      <c r="M591" s="3">
        <f t="shared" si="81"/>
        <v>1</v>
      </c>
      <c r="N591" s="3">
        <f t="shared" si="82"/>
        <v>20</v>
      </c>
      <c r="O591" s="3">
        <f t="shared" si="83"/>
        <v>4</v>
      </c>
    </row>
    <row r="592" spans="1:15" x14ac:dyDescent="0.2">
      <c r="A592" s="2">
        <v>44582</v>
      </c>
      <c r="B592" s="3">
        <v>26922</v>
      </c>
      <c r="C592" s="3">
        <v>27005</v>
      </c>
      <c r="D592" s="3">
        <v>27195</v>
      </c>
      <c r="E592" s="3">
        <v>26655</v>
      </c>
      <c r="F592" s="3">
        <v>24790</v>
      </c>
      <c r="G592" s="7">
        <f t="shared" si="89"/>
        <v>0</v>
      </c>
      <c r="H592" s="5">
        <f t="shared" si="84"/>
        <v>-1.898480486827242E-2</v>
      </c>
      <c r="I592" s="4">
        <f t="shared" si="85"/>
        <v>-1.1168070303917978E-2</v>
      </c>
      <c r="J592" s="4">
        <f t="shared" si="86"/>
        <v>-9.8306936100491533E-3</v>
      </c>
      <c r="K592" s="4">
        <f t="shared" si="87"/>
        <v>-1.5148716053944208E-2</v>
      </c>
      <c r="L592" s="4">
        <f t="shared" si="88"/>
        <v>0.82011747430249637</v>
      </c>
      <c r="M592" s="3">
        <f t="shared" si="81"/>
        <v>1</v>
      </c>
      <c r="N592" s="3">
        <f t="shared" si="82"/>
        <v>21</v>
      </c>
      <c r="O592" s="3">
        <f t="shared" si="83"/>
        <v>5</v>
      </c>
    </row>
    <row r="593" spans="1:15" x14ac:dyDescent="0.2">
      <c r="A593" s="2">
        <v>44585</v>
      </c>
      <c r="B593" s="3">
        <v>25960</v>
      </c>
      <c r="C593" s="3">
        <v>26820</v>
      </c>
      <c r="D593" s="3">
        <v>26970</v>
      </c>
      <c r="E593" s="3">
        <v>25630</v>
      </c>
      <c r="F593" s="3">
        <v>32880</v>
      </c>
      <c r="G593" s="7">
        <f t="shared" si="89"/>
        <v>0</v>
      </c>
      <c r="H593" s="5">
        <f t="shared" si="84"/>
        <v>-3.5732857885743999E-2</v>
      </c>
      <c r="I593" s="4">
        <f t="shared" si="85"/>
        <v>-6.8505832253286433E-3</v>
      </c>
      <c r="J593" s="4">
        <f t="shared" si="86"/>
        <v>-8.2735797021511303E-3</v>
      </c>
      <c r="K593" s="4">
        <f t="shared" si="87"/>
        <v>-3.845432376664791E-2</v>
      </c>
      <c r="L593" s="4">
        <f t="shared" si="88"/>
        <v>0.32634126663977409</v>
      </c>
      <c r="M593" s="3">
        <f t="shared" si="81"/>
        <v>1</v>
      </c>
      <c r="N593" s="3">
        <f t="shared" si="82"/>
        <v>24</v>
      </c>
      <c r="O593" s="3">
        <f t="shared" si="83"/>
        <v>1</v>
      </c>
    </row>
    <row r="594" spans="1:15" x14ac:dyDescent="0.2">
      <c r="A594" s="2">
        <v>44586</v>
      </c>
      <c r="B594" s="3">
        <v>26010</v>
      </c>
      <c r="C594" s="3">
        <v>26325</v>
      </c>
      <c r="D594" s="3">
        <v>26325</v>
      </c>
      <c r="E594" s="3">
        <v>25750</v>
      </c>
      <c r="F594" s="3">
        <v>30380</v>
      </c>
      <c r="G594" s="7">
        <f t="shared" si="89"/>
        <v>1</v>
      </c>
      <c r="H594" s="5">
        <f t="shared" si="84"/>
        <v>1.926040061633282E-3</v>
      </c>
      <c r="I594" s="4">
        <f t="shared" si="85"/>
        <v>-1.8456375838926176E-2</v>
      </c>
      <c r="J594" s="4">
        <f t="shared" si="86"/>
        <v>-2.3915461624026697E-2</v>
      </c>
      <c r="K594" s="4">
        <f t="shared" si="87"/>
        <v>4.6820132657042525E-3</v>
      </c>
      <c r="L594" s="4">
        <f t="shared" si="88"/>
        <v>-7.6034063260340637E-2</v>
      </c>
      <c r="M594" s="3">
        <f t="shared" si="81"/>
        <v>1</v>
      </c>
      <c r="N594" s="3">
        <f t="shared" si="82"/>
        <v>25</v>
      </c>
      <c r="O594" s="3">
        <f t="shared" si="83"/>
        <v>2</v>
      </c>
    </row>
    <row r="595" spans="1:15" x14ac:dyDescent="0.2">
      <c r="A595" s="2">
        <v>44587</v>
      </c>
      <c r="B595" s="3">
        <v>26569</v>
      </c>
      <c r="C595" s="3">
        <v>26195</v>
      </c>
      <c r="D595" s="3">
        <v>26780</v>
      </c>
      <c r="E595" s="3">
        <v>26090</v>
      </c>
      <c r="F595" s="3">
        <v>21490</v>
      </c>
      <c r="G595" s="7">
        <f t="shared" si="89"/>
        <v>1</v>
      </c>
      <c r="H595" s="5">
        <f t="shared" si="84"/>
        <v>2.1491733948481355E-2</v>
      </c>
      <c r="I595" s="4">
        <f t="shared" si="85"/>
        <v>-4.9382716049382715E-3</v>
      </c>
      <c r="J595" s="4">
        <f t="shared" si="86"/>
        <v>1.7283950617283949E-2</v>
      </c>
      <c r="K595" s="4">
        <f t="shared" si="87"/>
        <v>1.3203883495145631E-2</v>
      </c>
      <c r="L595" s="4">
        <f t="shared" si="88"/>
        <v>-0.29262672811059909</v>
      </c>
      <c r="M595" s="3">
        <f t="shared" si="81"/>
        <v>1</v>
      </c>
      <c r="N595" s="3">
        <f t="shared" si="82"/>
        <v>26</v>
      </c>
      <c r="O595" s="3">
        <f t="shared" si="83"/>
        <v>3</v>
      </c>
    </row>
    <row r="596" spans="1:15" x14ac:dyDescent="0.2">
      <c r="A596" s="2">
        <v>44588</v>
      </c>
      <c r="B596" s="3">
        <v>26831</v>
      </c>
      <c r="C596" s="3">
        <v>26110</v>
      </c>
      <c r="D596" s="3">
        <v>27020</v>
      </c>
      <c r="E596" s="3">
        <v>26095</v>
      </c>
      <c r="F596" s="3">
        <v>23540</v>
      </c>
      <c r="G596" s="7">
        <f t="shared" si="89"/>
        <v>1</v>
      </c>
      <c r="H596" s="5">
        <f t="shared" si="84"/>
        <v>9.8611163385900862E-3</v>
      </c>
      <c r="I596" s="4">
        <f t="shared" si="85"/>
        <v>-3.2448940637526246E-3</v>
      </c>
      <c r="J596" s="4">
        <f t="shared" si="86"/>
        <v>8.9619118745332335E-3</v>
      </c>
      <c r="K596" s="4">
        <f t="shared" si="87"/>
        <v>1.9164430816404754E-4</v>
      </c>
      <c r="L596" s="4">
        <f t="shared" si="88"/>
        <v>9.5393206142391815E-2</v>
      </c>
      <c r="M596" s="3">
        <f t="shared" si="81"/>
        <v>1</v>
      </c>
      <c r="N596" s="3">
        <f t="shared" si="82"/>
        <v>27</v>
      </c>
      <c r="O596" s="3">
        <f t="shared" si="83"/>
        <v>4</v>
      </c>
    </row>
    <row r="597" spans="1:15" x14ac:dyDescent="0.2">
      <c r="A597" s="2">
        <v>44589</v>
      </c>
      <c r="B597" s="3">
        <v>26551</v>
      </c>
      <c r="C597" s="3">
        <v>26805</v>
      </c>
      <c r="D597" s="3">
        <v>26850</v>
      </c>
      <c r="E597" s="3">
        <v>26260</v>
      </c>
      <c r="F597" s="3">
        <v>22640</v>
      </c>
      <c r="G597" s="7">
        <f t="shared" si="89"/>
        <v>0</v>
      </c>
      <c r="H597" s="5">
        <f t="shared" si="84"/>
        <v>-1.0435690060005217E-2</v>
      </c>
      <c r="I597" s="4">
        <f t="shared" si="85"/>
        <v>2.6618153963998466E-2</v>
      </c>
      <c r="J597" s="4">
        <f t="shared" si="86"/>
        <v>-6.2916358253145817E-3</v>
      </c>
      <c r="K597" s="4">
        <f t="shared" si="87"/>
        <v>6.323050392795555E-3</v>
      </c>
      <c r="L597" s="4">
        <f t="shared" si="88"/>
        <v>-3.8232795242141036E-2</v>
      </c>
      <c r="M597" s="3">
        <f t="shared" si="81"/>
        <v>1</v>
      </c>
      <c r="N597" s="3">
        <f t="shared" si="82"/>
        <v>28</v>
      </c>
      <c r="O597" s="3">
        <f t="shared" si="83"/>
        <v>5</v>
      </c>
    </row>
    <row r="598" spans="1:15" x14ac:dyDescent="0.2">
      <c r="A598" s="2">
        <v>44592</v>
      </c>
      <c r="B598" s="3">
        <v>26767</v>
      </c>
      <c r="C598" s="3">
        <v>26880</v>
      </c>
      <c r="D598" s="3">
        <v>27090</v>
      </c>
      <c r="E598" s="3">
        <v>26625</v>
      </c>
      <c r="F598" s="3">
        <v>19420</v>
      </c>
      <c r="G598" s="7">
        <f t="shared" si="89"/>
        <v>1</v>
      </c>
      <c r="H598" s="5">
        <f t="shared" si="84"/>
        <v>8.1352868065232946E-3</v>
      </c>
      <c r="I598" s="4">
        <f t="shared" si="85"/>
        <v>2.7979854504756574E-3</v>
      </c>
      <c r="J598" s="4">
        <f t="shared" si="86"/>
        <v>8.9385474860335188E-3</v>
      </c>
      <c r="K598" s="4">
        <f t="shared" si="87"/>
        <v>1.3899466869763899E-2</v>
      </c>
      <c r="L598" s="4">
        <f t="shared" si="88"/>
        <v>-0.142226148409894</v>
      </c>
      <c r="M598" s="3">
        <f t="shared" si="81"/>
        <v>1</v>
      </c>
      <c r="N598" s="3">
        <f t="shared" si="82"/>
        <v>31</v>
      </c>
      <c r="O598" s="3">
        <f t="shared" si="83"/>
        <v>1</v>
      </c>
    </row>
    <row r="599" spans="1:15" x14ac:dyDescent="0.2">
      <c r="A599" s="2">
        <v>44593</v>
      </c>
      <c r="B599" s="3">
        <v>27157</v>
      </c>
      <c r="C599" s="3">
        <v>26965</v>
      </c>
      <c r="D599" s="3">
        <v>27275</v>
      </c>
      <c r="E599" s="3">
        <v>26930</v>
      </c>
      <c r="F599" s="3">
        <v>17730</v>
      </c>
      <c r="G599" s="7">
        <f t="shared" si="89"/>
        <v>1</v>
      </c>
      <c r="H599" s="5">
        <f t="shared" si="84"/>
        <v>1.4570179698882952E-2</v>
      </c>
      <c r="I599" s="4">
        <f t="shared" si="85"/>
        <v>3.162202380952381E-3</v>
      </c>
      <c r="J599" s="4">
        <f t="shared" si="86"/>
        <v>6.8290882244370615E-3</v>
      </c>
      <c r="K599" s="4">
        <f t="shared" si="87"/>
        <v>1.1455399061032864E-2</v>
      </c>
      <c r="L599" s="4">
        <f t="shared" si="88"/>
        <v>-8.7023686920700311E-2</v>
      </c>
      <c r="M599" s="3">
        <f t="shared" si="81"/>
        <v>2</v>
      </c>
      <c r="N599" s="3">
        <f t="shared" si="82"/>
        <v>1</v>
      </c>
      <c r="O599" s="3">
        <f t="shared" si="83"/>
        <v>2</v>
      </c>
    </row>
    <row r="600" spans="1:15" x14ac:dyDescent="0.2">
      <c r="A600" s="2">
        <v>44594</v>
      </c>
      <c r="B600" s="3">
        <v>27366</v>
      </c>
      <c r="C600" s="3">
        <v>27290</v>
      </c>
      <c r="D600" s="3">
        <v>27530</v>
      </c>
      <c r="E600" s="3">
        <v>27240</v>
      </c>
      <c r="F600" s="3">
        <v>15610</v>
      </c>
      <c r="G600" s="7">
        <f t="shared" si="89"/>
        <v>1</v>
      </c>
      <c r="H600" s="5">
        <f t="shared" si="84"/>
        <v>7.6959899841661447E-3</v>
      </c>
      <c r="I600" s="4">
        <f t="shared" si="85"/>
        <v>1.2052660856666049E-2</v>
      </c>
      <c r="J600" s="4">
        <f t="shared" si="86"/>
        <v>9.3492208982584781E-3</v>
      </c>
      <c r="K600" s="4">
        <f t="shared" si="87"/>
        <v>1.1511325659116228E-2</v>
      </c>
      <c r="L600" s="4">
        <f t="shared" si="88"/>
        <v>-0.11957134799774394</v>
      </c>
      <c r="M600" s="3">
        <f t="shared" si="81"/>
        <v>2</v>
      </c>
      <c r="N600" s="3">
        <f t="shared" si="82"/>
        <v>2</v>
      </c>
      <c r="O600" s="3">
        <f t="shared" si="83"/>
        <v>3</v>
      </c>
    </row>
    <row r="601" spans="1:15" x14ac:dyDescent="0.2">
      <c r="A601" s="2">
        <v>44595</v>
      </c>
      <c r="B601" s="3">
        <v>27054</v>
      </c>
      <c r="C601" s="3">
        <v>27275</v>
      </c>
      <c r="D601" s="3">
        <v>27360</v>
      </c>
      <c r="E601" s="3">
        <v>26910</v>
      </c>
      <c r="F601" s="3">
        <v>19330</v>
      </c>
      <c r="G601" s="7">
        <f t="shared" si="89"/>
        <v>0</v>
      </c>
      <c r="H601" s="5">
        <f t="shared" si="84"/>
        <v>-1.1401008550756413E-2</v>
      </c>
      <c r="I601" s="4">
        <f t="shared" si="85"/>
        <v>-5.4965188713814589E-4</v>
      </c>
      <c r="J601" s="4">
        <f t="shared" si="86"/>
        <v>-6.1750817290228844E-3</v>
      </c>
      <c r="K601" s="4">
        <f t="shared" si="87"/>
        <v>-1.2114537444933921E-2</v>
      </c>
      <c r="L601" s="4">
        <f t="shared" si="88"/>
        <v>0.23830877642536835</v>
      </c>
      <c r="M601" s="3">
        <f t="shared" si="81"/>
        <v>2</v>
      </c>
      <c r="N601" s="3">
        <f t="shared" si="82"/>
        <v>3</v>
      </c>
      <c r="O601" s="3">
        <f t="shared" si="83"/>
        <v>4</v>
      </c>
    </row>
    <row r="602" spans="1:15" x14ac:dyDescent="0.2">
      <c r="A602" s="2">
        <v>44596</v>
      </c>
      <c r="B602" s="3">
        <v>26590</v>
      </c>
      <c r="C602" s="3">
        <v>27150</v>
      </c>
      <c r="D602" s="3">
        <v>27270</v>
      </c>
      <c r="E602" s="3">
        <v>26485</v>
      </c>
      <c r="F602" s="3">
        <v>25270</v>
      </c>
      <c r="G602" s="7">
        <f t="shared" si="89"/>
        <v>0</v>
      </c>
      <c r="H602" s="5">
        <f t="shared" si="84"/>
        <v>-1.7150883418348487E-2</v>
      </c>
      <c r="I602" s="4">
        <f t="shared" si="85"/>
        <v>-4.5829514207149404E-3</v>
      </c>
      <c r="J602" s="4">
        <f t="shared" si="86"/>
        <v>-3.2894736842105261E-3</v>
      </c>
      <c r="K602" s="4">
        <f t="shared" si="87"/>
        <v>-1.5793385358602748E-2</v>
      </c>
      <c r="L602" s="4">
        <f t="shared" si="88"/>
        <v>0.3072943610967408</v>
      </c>
      <c r="M602" s="3">
        <f t="shared" si="81"/>
        <v>2</v>
      </c>
      <c r="N602" s="3">
        <f t="shared" si="82"/>
        <v>4</v>
      </c>
      <c r="O602" s="3">
        <f t="shared" si="83"/>
        <v>5</v>
      </c>
    </row>
    <row r="603" spans="1:15" x14ac:dyDescent="0.2">
      <c r="A603" s="2">
        <v>44599</v>
      </c>
      <c r="B603" s="3">
        <v>26319</v>
      </c>
      <c r="C603" s="3">
        <v>26705</v>
      </c>
      <c r="D603" s="3">
        <v>26750</v>
      </c>
      <c r="E603" s="3">
        <v>26115</v>
      </c>
      <c r="F603" s="3">
        <v>24760</v>
      </c>
      <c r="G603" s="7">
        <f t="shared" si="89"/>
        <v>0</v>
      </c>
      <c r="H603" s="5">
        <f t="shared" si="84"/>
        <v>-1.0191801429108688E-2</v>
      </c>
      <c r="I603" s="4">
        <f t="shared" si="85"/>
        <v>-1.6390423572744013E-2</v>
      </c>
      <c r="J603" s="4">
        <f t="shared" si="86"/>
        <v>-1.906857352401907E-2</v>
      </c>
      <c r="K603" s="4">
        <f t="shared" si="87"/>
        <v>-1.3970171795355861E-2</v>
      </c>
      <c r="L603" s="4">
        <f t="shared" si="88"/>
        <v>-2.0182034032449545E-2</v>
      </c>
      <c r="M603" s="3">
        <f t="shared" si="81"/>
        <v>2</v>
      </c>
      <c r="N603" s="3">
        <f t="shared" si="82"/>
        <v>7</v>
      </c>
      <c r="O603" s="3">
        <f t="shared" si="83"/>
        <v>1</v>
      </c>
    </row>
    <row r="604" spans="1:15" x14ac:dyDescent="0.2">
      <c r="A604" s="2">
        <v>44600</v>
      </c>
      <c r="B604" s="3">
        <v>26374</v>
      </c>
      <c r="C604" s="3">
        <v>26360</v>
      </c>
      <c r="D604" s="3">
        <v>26645</v>
      </c>
      <c r="E604" s="3">
        <v>26180</v>
      </c>
      <c r="F604" s="3">
        <v>21850</v>
      </c>
      <c r="G604" s="7">
        <f t="shared" si="89"/>
        <v>1</v>
      </c>
      <c r="H604" s="5">
        <f t="shared" si="84"/>
        <v>2.0897450511037654E-3</v>
      </c>
      <c r="I604" s="4">
        <f t="shared" si="85"/>
        <v>-1.291892903950571E-2</v>
      </c>
      <c r="J604" s="4">
        <f t="shared" si="86"/>
        <v>-3.9252336448598133E-3</v>
      </c>
      <c r="K604" s="4">
        <f t="shared" si="87"/>
        <v>2.488991001340226E-3</v>
      </c>
      <c r="L604" s="4">
        <f t="shared" si="88"/>
        <v>-0.11752827140549273</v>
      </c>
      <c r="M604" s="3">
        <f t="shared" si="81"/>
        <v>2</v>
      </c>
      <c r="N604" s="3">
        <f t="shared" si="82"/>
        <v>8</v>
      </c>
      <c r="O604" s="3">
        <f t="shared" si="83"/>
        <v>2</v>
      </c>
    </row>
    <row r="605" spans="1:15" x14ac:dyDescent="0.2">
      <c r="A605" s="2">
        <v>44601</v>
      </c>
      <c r="B605" s="3">
        <v>27081</v>
      </c>
      <c r="C605" s="3">
        <v>26600</v>
      </c>
      <c r="D605" s="3">
        <v>27210</v>
      </c>
      <c r="E605" s="3">
        <v>26530</v>
      </c>
      <c r="F605" s="3">
        <v>17530</v>
      </c>
      <c r="G605" s="7">
        <f t="shared" si="89"/>
        <v>1</v>
      </c>
      <c r="H605" s="5">
        <f t="shared" si="84"/>
        <v>2.6806703571699401E-2</v>
      </c>
      <c r="I605" s="4">
        <f t="shared" si="85"/>
        <v>9.104704097116844E-3</v>
      </c>
      <c r="J605" s="4">
        <f t="shared" si="86"/>
        <v>2.1204728842184276E-2</v>
      </c>
      <c r="K605" s="4">
        <f t="shared" si="87"/>
        <v>1.3368983957219251E-2</v>
      </c>
      <c r="L605" s="4">
        <f t="shared" si="88"/>
        <v>-0.19771167048054919</v>
      </c>
      <c r="M605" s="3">
        <f t="shared" si="81"/>
        <v>2</v>
      </c>
      <c r="N605" s="3">
        <f t="shared" si="82"/>
        <v>9</v>
      </c>
      <c r="O605" s="3">
        <f t="shared" si="83"/>
        <v>3</v>
      </c>
    </row>
    <row r="606" spans="1:15" x14ac:dyDescent="0.2">
      <c r="A606" s="2">
        <v>44602</v>
      </c>
      <c r="B606" s="3">
        <v>27168</v>
      </c>
      <c r="C606" s="3">
        <v>27165</v>
      </c>
      <c r="D606" s="3">
        <v>27325</v>
      </c>
      <c r="E606" s="3">
        <v>26905</v>
      </c>
      <c r="F606" s="3">
        <v>20370</v>
      </c>
      <c r="G606" s="7">
        <f t="shared" si="89"/>
        <v>1</v>
      </c>
      <c r="H606" s="5">
        <f t="shared" si="84"/>
        <v>3.2125844688157749E-3</v>
      </c>
      <c r="I606" s="4">
        <f t="shared" si="85"/>
        <v>2.12406015037594E-2</v>
      </c>
      <c r="J606" s="4">
        <f t="shared" si="86"/>
        <v>4.2263873575891214E-3</v>
      </c>
      <c r="K606" s="4">
        <f t="shared" si="87"/>
        <v>1.413494157557482E-2</v>
      </c>
      <c r="L606" s="4">
        <f t="shared" si="88"/>
        <v>0.16200798630918425</v>
      </c>
      <c r="M606" s="3">
        <f t="shared" si="81"/>
        <v>2</v>
      </c>
      <c r="N606" s="3">
        <f t="shared" si="82"/>
        <v>10</v>
      </c>
      <c r="O606" s="3">
        <f t="shared" si="83"/>
        <v>4</v>
      </c>
    </row>
    <row r="607" spans="1:15" x14ac:dyDescent="0.2">
      <c r="A607" s="2">
        <v>44603</v>
      </c>
      <c r="B607" s="3">
        <v>26941</v>
      </c>
      <c r="C607" s="3">
        <v>26900</v>
      </c>
      <c r="D607" s="3">
        <v>27030</v>
      </c>
      <c r="E607" s="3">
        <v>26425</v>
      </c>
      <c r="F607" s="3">
        <v>21100</v>
      </c>
      <c r="G607" s="7">
        <f t="shared" si="89"/>
        <v>0</v>
      </c>
      <c r="H607" s="5">
        <f t="shared" si="84"/>
        <v>-8.355418138987044E-3</v>
      </c>
      <c r="I607" s="4">
        <f t="shared" si="85"/>
        <v>-9.7551997055034048E-3</v>
      </c>
      <c r="J607" s="4">
        <f t="shared" si="86"/>
        <v>-1.079597438243367E-2</v>
      </c>
      <c r="K607" s="4">
        <f t="shared" si="87"/>
        <v>-1.7840550083627577E-2</v>
      </c>
      <c r="L607" s="4">
        <f t="shared" si="88"/>
        <v>3.5837015218458515E-2</v>
      </c>
      <c r="M607" s="3">
        <f t="shared" si="81"/>
        <v>2</v>
      </c>
      <c r="N607" s="3">
        <f t="shared" si="82"/>
        <v>11</v>
      </c>
      <c r="O607" s="3">
        <f t="shared" si="83"/>
        <v>5</v>
      </c>
    </row>
    <row r="608" spans="1:15" x14ac:dyDescent="0.2">
      <c r="A608" s="2">
        <v>44606</v>
      </c>
      <c r="B608" s="3">
        <v>26380</v>
      </c>
      <c r="C608" s="3">
        <v>26455</v>
      </c>
      <c r="D608" s="3">
        <v>26495</v>
      </c>
      <c r="E608" s="3">
        <v>25865</v>
      </c>
      <c r="F608" s="3">
        <v>32340</v>
      </c>
      <c r="G608" s="7">
        <f t="shared" si="89"/>
        <v>0</v>
      </c>
      <c r="H608" s="5">
        <f t="shared" si="84"/>
        <v>-2.0823280501837349E-2</v>
      </c>
      <c r="I608" s="4">
        <f t="shared" si="85"/>
        <v>-1.6542750929368029E-2</v>
      </c>
      <c r="J608" s="4">
        <f t="shared" si="86"/>
        <v>-1.9792822789493156E-2</v>
      </c>
      <c r="K608" s="4">
        <f t="shared" si="87"/>
        <v>-2.119205298013245E-2</v>
      </c>
      <c r="L608" s="4">
        <f t="shared" si="88"/>
        <v>0.53270142180094782</v>
      </c>
      <c r="M608" s="3">
        <f t="shared" si="81"/>
        <v>2</v>
      </c>
      <c r="N608" s="3">
        <f t="shared" si="82"/>
        <v>14</v>
      </c>
      <c r="O608" s="3">
        <f t="shared" si="83"/>
        <v>1</v>
      </c>
    </row>
    <row r="609" spans="1:15" x14ac:dyDescent="0.2">
      <c r="A609" s="2">
        <v>44607</v>
      </c>
      <c r="B609" s="3">
        <v>26926</v>
      </c>
      <c r="C609" s="3">
        <v>26230</v>
      </c>
      <c r="D609" s="3">
        <v>26990</v>
      </c>
      <c r="E609" s="3">
        <v>26230</v>
      </c>
      <c r="F609" s="3">
        <v>19790</v>
      </c>
      <c r="G609" s="7">
        <f t="shared" si="89"/>
        <v>1</v>
      </c>
      <c r="H609" s="5">
        <f t="shared" si="84"/>
        <v>2.0697498104624717E-2</v>
      </c>
      <c r="I609" s="4">
        <f t="shared" si="85"/>
        <v>-8.5050085050085052E-3</v>
      </c>
      <c r="J609" s="4">
        <f t="shared" si="86"/>
        <v>1.8682770334025288E-2</v>
      </c>
      <c r="K609" s="4">
        <f t="shared" si="87"/>
        <v>1.4111734003479606E-2</v>
      </c>
      <c r="L609" s="4">
        <f t="shared" si="88"/>
        <v>-0.3880643166357452</v>
      </c>
      <c r="M609" s="3">
        <f t="shared" si="81"/>
        <v>2</v>
      </c>
      <c r="N609" s="3">
        <f t="shared" si="82"/>
        <v>15</v>
      </c>
      <c r="O609" s="3">
        <f t="shared" si="83"/>
        <v>2</v>
      </c>
    </row>
    <row r="610" spans="1:15" x14ac:dyDescent="0.2">
      <c r="A610" s="2">
        <v>44608</v>
      </c>
      <c r="B610" s="3">
        <v>26955</v>
      </c>
      <c r="C610" s="3">
        <v>26995</v>
      </c>
      <c r="D610" s="3">
        <v>27145</v>
      </c>
      <c r="E610" s="3">
        <v>26760</v>
      </c>
      <c r="F610" s="3">
        <v>13920</v>
      </c>
      <c r="G610" s="7">
        <f t="shared" si="89"/>
        <v>1</v>
      </c>
      <c r="H610" s="5">
        <f t="shared" si="84"/>
        <v>1.0770259228997995E-3</v>
      </c>
      <c r="I610" s="4">
        <f t="shared" si="85"/>
        <v>2.9165078154784599E-2</v>
      </c>
      <c r="J610" s="4">
        <f t="shared" si="86"/>
        <v>5.7428677287884398E-3</v>
      </c>
      <c r="K610" s="4">
        <f t="shared" si="87"/>
        <v>2.0205871139916128E-2</v>
      </c>
      <c r="L610" s="4">
        <f t="shared" si="88"/>
        <v>-0.2966144517433047</v>
      </c>
      <c r="M610" s="3">
        <f t="shared" si="81"/>
        <v>2</v>
      </c>
      <c r="N610" s="3">
        <f t="shared" si="82"/>
        <v>16</v>
      </c>
      <c r="O610" s="3">
        <f t="shared" si="83"/>
        <v>3</v>
      </c>
    </row>
    <row r="611" spans="1:15" x14ac:dyDescent="0.2">
      <c r="A611" s="2">
        <v>44609</v>
      </c>
      <c r="B611" s="3">
        <v>26641</v>
      </c>
      <c r="C611" s="3">
        <v>26815</v>
      </c>
      <c r="D611" s="3">
        <v>27010</v>
      </c>
      <c r="E611" s="3">
        <v>26440</v>
      </c>
      <c r="F611" s="3">
        <v>18220</v>
      </c>
      <c r="G611" s="7">
        <f t="shared" si="89"/>
        <v>0</v>
      </c>
      <c r="H611" s="5">
        <f t="shared" si="84"/>
        <v>-1.1649044704136524E-2</v>
      </c>
      <c r="I611" s="4">
        <f t="shared" si="85"/>
        <v>-6.6679014632339325E-3</v>
      </c>
      <c r="J611" s="4">
        <f t="shared" si="86"/>
        <v>-4.9732915822435072E-3</v>
      </c>
      <c r="K611" s="4">
        <f t="shared" si="87"/>
        <v>-1.195814648729447E-2</v>
      </c>
      <c r="L611" s="4">
        <f t="shared" si="88"/>
        <v>0.30890804597701149</v>
      </c>
      <c r="M611" s="3">
        <f t="shared" si="81"/>
        <v>2</v>
      </c>
      <c r="N611" s="3">
        <f t="shared" si="82"/>
        <v>17</v>
      </c>
      <c r="O611" s="3">
        <f t="shared" si="83"/>
        <v>4</v>
      </c>
    </row>
    <row r="612" spans="1:15" x14ac:dyDescent="0.2">
      <c r="A612" s="2">
        <v>44610</v>
      </c>
      <c r="B612" s="3">
        <v>26498</v>
      </c>
      <c r="C612" s="3">
        <v>26660</v>
      </c>
      <c r="D612" s="3">
        <v>26815</v>
      </c>
      <c r="E612" s="3">
        <v>26400</v>
      </c>
      <c r="F612" s="3">
        <v>17360</v>
      </c>
      <c r="G612" s="7">
        <f t="shared" si="89"/>
        <v>0</v>
      </c>
      <c r="H612" s="5">
        <f t="shared" si="84"/>
        <v>-5.367666378889681E-3</v>
      </c>
      <c r="I612" s="4">
        <f t="shared" si="85"/>
        <v>-5.7803468208092483E-3</v>
      </c>
      <c r="J612" s="4">
        <f t="shared" si="86"/>
        <v>-7.2195483154387265E-3</v>
      </c>
      <c r="K612" s="4">
        <f t="shared" si="87"/>
        <v>-1.5128593040847202E-3</v>
      </c>
      <c r="L612" s="4">
        <f t="shared" si="88"/>
        <v>-4.7200878155872671E-2</v>
      </c>
      <c r="M612" s="3">
        <f t="shared" si="81"/>
        <v>2</v>
      </c>
      <c r="N612" s="3">
        <f t="shared" si="82"/>
        <v>18</v>
      </c>
      <c r="O612" s="3">
        <f t="shared" si="83"/>
        <v>5</v>
      </c>
    </row>
    <row r="613" spans="1:15" x14ac:dyDescent="0.2">
      <c r="A613" s="2">
        <v>44613</v>
      </c>
      <c r="B613" s="3">
        <v>26031</v>
      </c>
      <c r="C613" s="3">
        <v>26675</v>
      </c>
      <c r="D613" s="3">
        <v>26735</v>
      </c>
      <c r="E613" s="3">
        <v>25625</v>
      </c>
      <c r="F613" s="3">
        <v>24850</v>
      </c>
      <c r="G613" s="7">
        <f t="shared" si="89"/>
        <v>0</v>
      </c>
      <c r="H613" s="5">
        <f t="shared" si="84"/>
        <v>-1.7623971620499661E-2</v>
      </c>
      <c r="I613" s="4">
        <f t="shared" si="85"/>
        <v>5.6264066016504122E-4</v>
      </c>
      <c r="J613" s="4">
        <f t="shared" si="86"/>
        <v>-2.9834048107402573E-3</v>
      </c>
      <c r="K613" s="4">
        <f t="shared" si="87"/>
        <v>-2.9356060606060608E-2</v>
      </c>
      <c r="L613" s="4">
        <f t="shared" si="88"/>
        <v>0.43145161290322581</v>
      </c>
      <c r="M613" s="3">
        <f t="shared" si="81"/>
        <v>2</v>
      </c>
      <c r="N613" s="3">
        <f t="shared" si="82"/>
        <v>21</v>
      </c>
      <c r="O613" s="3">
        <f t="shared" si="83"/>
        <v>1</v>
      </c>
    </row>
    <row r="614" spans="1:15" x14ac:dyDescent="0.2">
      <c r="A614" s="2">
        <v>44614</v>
      </c>
      <c r="B614" s="3">
        <v>26025</v>
      </c>
      <c r="C614" s="3">
        <v>25645</v>
      </c>
      <c r="D614" s="3">
        <v>26205</v>
      </c>
      <c r="E614" s="3">
        <v>25305</v>
      </c>
      <c r="F614" s="3">
        <v>29520</v>
      </c>
      <c r="G614" s="7">
        <f t="shared" si="89"/>
        <v>0</v>
      </c>
      <c r="H614" s="5">
        <f t="shared" si="84"/>
        <v>-2.3049441051054513E-4</v>
      </c>
      <c r="I614" s="4">
        <f t="shared" si="85"/>
        <v>-3.861293345829428E-2</v>
      </c>
      <c r="J614" s="4">
        <f t="shared" si="86"/>
        <v>-1.9824200486253975E-2</v>
      </c>
      <c r="K614" s="4">
        <f t="shared" si="87"/>
        <v>-1.2487804878048781E-2</v>
      </c>
      <c r="L614" s="4">
        <f t="shared" si="88"/>
        <v>0.18792756539235411</v>
      </c>
      <c r="M614" s="3">
        <f t="shared" si="81"/>
        <v>2</v>
      </c>
      <c r="N614" s="3">
        <f t="shared" si="82"/>
        <v>22</v>
      </c>
      <c r="O614" s="3">
        <f t="shared" si="83"/>
        <v>2</v>
      </c>
    </row>
    <row r="615" spans="1:15" x14ac:dyDescent="0.2">
      <c r="A615" s="2">
        <v>44615</v>
      </c>
      <c r="B615" s="3">
        <v>25958</v>
      </c>
      <c r="C615" s="3">
        <v>26090</v>
      </c>
      <c r="D615" s="3">
        <v>26375</v>
      </c>
      <c r="E615" s="3">
        <v>25745</v>
      </c>
      <c r="F615" s="3">
        <v>20480</v>
      </c>
      <c r="G615" s="7">
        <f t="shared" si="89"/>
        <v>0</v>
      </c>
      <c r="H615" s="5">
        <f t="shared" si="84"/>
        <v>-2.5744476464937562E-3</v>
      </c>
      <c r="I615" s="4">
        <f t="shared" si="85"/>
        <v>1.7352310391889256E-2</v>
      </c>
      <c r="J615" s="4">
        <f t="shared" si="86"/>
        <v>6.4873115817592059E-3</v>
      </c>
      <c r="K615" s="4">
        <f t="shared" si="87"/>
        <v>1.738786801027465E-2</v>
      </c>
      <c r="L615" s="4">
        <f t="shared" si="88"/>
        <v>-0.30623306233062331</v>
      </c>
      <c r="M615" s="3">
        <f t="shared" si="81"/>
        <v>2</v>
      </c>
      <c r="N615" s="3">
        <f t="shared" si="82"/>
        <v>23</v>
      </c>
      <c r="O615" s="3">
        <f t="shared" si="83"/>
        <v>3</v>
      </c>
    </row>
    <row r="616" spans="1:15" x14ac:dyDescent="0.2">
      <c r="A616" s="2">
        <v>44616</v>
      </c>
      <c r="B616" s="3">
        <v>24894</v>
      </c>
      <c r="C616" s="3">
        <v>25160</v>
      </c>
      <c r="D616" s="3">
        <v>25350</v>
      </c>
      <c r="E616" s="3">
        <v>24490</v>
      </c>
      <c r="F616" s="3">
        <v>63750</v>
      </c>
      <c r="G616" s="7">
        <f t="shared" si="89"/>
        <v>0</v>
      </c>
      <c r="H616" s="5">
        <f t="shared" si="84"/>
        <v>-4.0989290392171973E-2</v>
      </c>
      <c r="I616" s="4">
        <f t="shared" si="85"/>
        <v>-3.5645841318512839E-2</v>
      </c>
      <c r="J616" s="4">
        <f t="shared" si="86"/>
        <v>-3.886255924170616E-2</v>
      </c>
      <c r="K616" s="4">
        <f t="shared" si="87"/>
        <v>-4.8747329578558943E-2</v>
      </c>
      <c r="L616" s="4">
        <f t="shared" si="88"/>
        <v>2.11279296875</v>
      </c>
      <c r="M616" s="3">
        <f t="shared" si="81"/>
        <v>2</v>
      </c>
      <c r="N616" s="3">
        <f t="shared" si="82"/>
        <v>24</v>
      </c>
      <c r="O616" s="3">
        <f t="shared" si="83"/>
        <v>4</v>
      </c>
    </row>
    <row r="617" spans="1:15" x14ac:dyDescent="0.2">
      <c r="A617" s="2">
        <v>44617</v>
      </c>
      <c r="B617" s="3">
        <v>25738</v>
      </c>
      <c r="C617" s="3">
        <v>25285</v>
      </c>
      <c r="D617" s="3">
        <v>25920</v>
      </c>
      <c r="E617" s="3">
        <v>24775</v>
      </c>
      <c r="F617" s="3">
        <v>35980</v>
      </c>
      <c r="G617" s="7">
        <f t="shared" si="89"/>
        <v>1</v>
      </c>
      <c r="H617" s="5">
        <f t="shared" si="84"/>
        <v>3.39037519080903E-2</v>
      </c>
      <c r="I617" s="4">
        <f t="shared" si="85"/>
        <v>4.9682034976152624E-3</v>
      </c>
      <c r="J617" s="4">
        <f t="shared" si="86"/>
        <v>2.2485207100591716E-2</v>
      </c>
      <c r="K617" s="4">
        <f t="shared" si="87"/>
        <v>1.1637403021641487E-2</v>
      </c>
      <c r="L617" s="4">
        <f t="shared" si="88"/>
        <v>-0.43560784313725492</v>
      </c>
      <c r="M617" s="3">
        <f t="shared" si="81"/>
        <v>2</v>
      </c>
      <c r="N617" s="3">
        <f t="shared" si="82"/>
        <v>25</v>
      </c>
      <c r="O617" s="3">
        <f t="shared" si="83"/>
        <v>5</v>
      </c>
    </row>
    <row r="618" spans="1:15" x14ac:dyDescent="0.2">
      <c r="A618" s="2">
        <v>44620</v>
      </c>
      <c r="B618" s="3">
        <v>25417</v>
      </c>
      <c r="C618" s="3">
        <v>24935</v>
      </c>
      <c r="D618" s="3">
        <v>25480</v>
      </c>
      <c r="E618" s="3">
        <v>24920</v>
      </c>
      <c r="F618" s="3">
        <v>31180</v>
      </c>
      <c r="G618" s="7">
        <f t="shared" si="89"/>
        <v>0</v>
      </c>
      <c r="H618" s="5">
        <f t="shared" si="84"/>
        <v>-1.2471831533141658E-2</v>
      </c>
      <c r="I618" s="4">
        <f t="shared" si="85"/>
        <v>-1.3842198932173226E-2</v>
      </c>
      <c r="J618" s="4">
        <f t="shared" si="86"/>
        <v>-1.6975308641975308E-2</v>
      </c>
      <c r="K618" s="4">
        <f t="shared" si="87"/>
        <v>5.8526740665993948E-3</v>
      </c>
      <c r="L618" s="4">
        <f t="shared" si="88"/>
        <v>-0.13340744858254586</v>
      </c>
      <c r="M618" s="3">
        <f t="shared" si="81"/>
        <v>2</v>
      </c>
      <c r="N618" s="3">
        <f t="shared" si="82"/>
        <v>28</v>
      </c>
      <c r="O618" s="3">
        <f t="shared" si="83"/>
        <v>1</v>
      </c>
    </row>
    <row r="619" spans="1:15" x14ac:dyDescent="0.2">
      <c r="A619" s="2">
        <v>44621</v>
      </c>
      <c r="B619" s="3">
        <v>24378</v>
      </c>
      <c r="C619" s="3">
        <v>25340</v>
      </c>
      <c r="D619" s="3">
        <v>25625</v>
      </c>
      <c r="E619" s="3">
        <v>24045</v>
      </c>
      <c r="F619" s="3">
        <v>34960</v>
      </c>
      <c r="G619" s="7">
        <f t="shared" si="89"/>
        <v>0</v>
      </c>
      <c r="H619" s="5">
        <f t="shared" si="84"/>
        <v>-4.0878152417673209E-2</v>
      </c>
      <c r="I619" s="4">
        <f t="shared" si="85"/>
        <v>1.6242229797473431E-2</v>
      </c>
      <c r="J619" s="4">
        <f t="shared" si="86"/>
        <v>5.6907378335949764E-3</v>
      </c>
      <c r="K619" s="4">
        <f t="shared" si="87"/>
        <v>-3.51123595505618E-2</v>
      </c>
      <c r="L619" s="4">
        <f t="shared" si="88"/>
        <v>0.12123155869146889</v>
      </c>
      <c r="M619" s="3">
        <f t="shared" si="81"/>
        <v>3</v>
      </c>
      <c r="N619" s="3">
        <f t="shared" si="82"/>
        <v>1</v>
      </c>
      <c r="O619" s="3">
        <f t="shared" si="83"/>
        <v>2</v>
      </c>
    </row>
    <row r="620" spans="1:15" x14ac:dyDescent="0.2">
      <c r="A620" s="2">
        <v>44622</v>
      </c>
      <c r="B620" s="3">
        <v>23990</v>
      </c>
      <c r="C620" s="3">
        <v>23570</v>
      </c>
      <c r="D620" s="3">
        <v>24130</v>
      </c>
      <c r="E620" s="3">
        <v>23525</v>
      </c>
      <c r="F620" s="3">
        <v>340</v>
      </c>
      <c r="G620" s="7">
        <f t="shared" si="89"/>
        <v>0</v>
      </c>
      <c r="H620" s="5">
        <f t="shared" si="84"/>
        <v>-1.5915989826893101E-2</v>
      </c>
      <c r="I620" s="4">
        <f t="shared" si="85"/>
        <v>-6.9850039463299138E-2</v>
      </c>
      <c r="J620" s="4">
        <f t="shared" si="86"/>
        <v>-5.834146341463415E-2</v>
      </c>
      <c r="K620" s="4">
        <f t="shared" si="87"/>
        <v>-2.1626117695986692E-2</v>
      </c>
      <c r="L620" s="4">
        <f t="shared" si="88"/>
        <v>-0.9902745995423341</v>
      </c>
      <c r="M620" s="3">
        <f t="shared" si="81"/>
        <v>3</v>
      </c>
      <c r="N620" s="3">
        <f t="shared" si="82"/>
        <v>2</v>
      </c>
      <c r="O620" s="3">
        <f t="shared" si="83"/>
        <v>3</v>
      </c>
    </row>
    <row r="621" spans="1:15" x14ac:dyDescent="0.2">
      <c r="A621" s="2">
        <v>44623</v>
      </c>
      <c r="B621" s="3">
        <v>23447</v>
      </c>
      <c r="C621" s="3">
        <v>24065</v>
      </c>
      <c r="D621" s="3">
        <v>24165</v>
      </c>
      <c r="E621" s="3">
        <v>23345</v>
      </c>
      <c r="F621" s="3">
        <v>110</v>
      </c>
      <c r="G621" s="7">
        <f t="shared" si="89"/>
        <v>0</v>
      </c>
      <c r="H621" s="5">
        <f t="shared" si="84"/>
        <v>-2.2634431012922052E-2</v>
      </c>
      <c r="I621" s="4">
        <f t="shared" si="85"/>
        <v>2.1001272804412389E-2</v>
      </c>
      <c r="J621" s="4">
        <f t="shared" si="86"/>
        <v>1.4504765851636966E-3</v>
      </c>
      <c r="K621" s="4">
        <f t="shared" si="87"/>
        <v>-7.6514346439957494E-3</v>
      </c>
      <c r="L621" s="4">
        <f t="shared" si="88"/>
        <v>-0.67647058823529416</v>
      </c>
      <c r="M621" s="3">
        <f t="shared" si="81"/>
        <v>3</v>
      </c>
      <c r="N621" s="3">
        <f t="shared" si="82"/>
        <v>3</v>
      </c>
      <c r="O621" s="3">
        <f t="shared" si="83"/>
        <v>4</v>
      </c>
    </row>
    <row r="622" spans="1:15" x14ac:dyDescent="0.2">
      <c r="A622" s="2">
        <v>44624</v>
      </c>
      <c r="B622" s="3">
        <v>21981</v>
      </c>
      <c r="C622" s="3">
        <v>23050</v>
      </c>
      <c r="D622" s="3">
        <v>23145</v>
      </c>
      <c r="E622" s="3">
        <v>21850</v>
      </c>
      <c r="F622" s="3">
        <v>240</v>
      </c>
      <c r="G622" s="7">
        <f t="shared" si="89"/>
        <v>0</v>
      </c>
      <c r="H622" s="5">
        <f t="shared" si="84"/>
        <v>-6.252399027594148E-2</v>
      </c>
      <c r="I622" s="4">
        <f t="shared" si="85"/>
        <v>-4.217743611053397E-2</v>
      </c>
      <c r="J622" s="4">
        <f t="shared" si="86"/>
        <v>-4.2209807572936062E-2</v>
      </c>
      <c r="K622" s="4">
        <f t="shared" si="87"/>
        <v>-6.4039408866995079E-2</v>
      </c>
      <c r="L622" s="4">
        <f t="shared" si="88"/>
        <v>1.1818181818181819</v>
      </c>
      <c r="M622" s="3">
        <f t="shared" si="81"/>
        <v>3</v>
      </c>
      <c r="N622" s="3">
        <f t="shared" si="82"/>
        <v>4</v>
      </c>
      <c r="O622" s="3">
        <f t="shared" si="83"/>
        <v>5</v>
      </c>
    </row>
    <row r="623" spans="1:15" x14ac:dyDescent="0.2">
      <c r="A623" s="2">
        <v>44627</v>
      </c>
      <c r="B623" s="3">
        <v>21668</v>
      </c>
      <c r="C623" s="3">
        <v>21405</v>
      </c>
      <c r="D623" s="3">
        <v>22130</v>
      </c>
      <c r="E623" s="3">
        <v>20585</v>
      </c>
      <c r="F623" s="3">
        <v>410</v>
      </c>
      <c r="G623" s="7">
        <f t="shared" si="89"/>
        <v>0</v>
      </c>
      <c r="H623" s="5">
        <f t="shared" si="84"/>
        <v>-1.4239570538192074E-2</v>
      </c>
      <c r="I623" s="4">
        <f t="shared" si="85"/>
        <v>-7.1366594360086771E-2</v>
      </c>
      <c r="J623" s="4">
        <f t="shared" si="86"/>
        <v>-4.3853964139122924E-2</v>
      </c>
      <c r="K623" s="4">
        <f t="shared" si="87"/>
        <v>-5.7894736842105263E-2</v>
      </c>
      <c r="L623" s="4">
        <f t="shared" si="88"/>
        <v>0.70833333333333337</v>
      </c>
      <c r="M623" s="3">
        <f t="shared" si="81"/>
        <v>3</v>
      </c>
      <c r="N623" s="3">
        <f t="shared" si="82"/>
        <v>7</v>
      </c>
      <c r="O623" s="3">
        <f t="shared" si="83"/>
        <v>1</v>
      </c>
    </row>
    <row r="624" spans="1:15" x14ac:dyDescent="0.2">
      <c r="A624" s="2">
        <v>44628</v>
      </c>
      <c r="B624" s="3">
        <v>21818</v>
      </c>
      <c r="C624" s="3">
        <v>21065</v>
      </c>
      <c r="D624" s="3">
        <v>22605</v>
      </c>
      <c r="E624" s="3">
        <v>21000</v>
      </c>
      <c r="F624" s="3">
        <v>360</v>
      </c>
      <c r="G624" s="7">
        <f t="shared" si="89"/>
        <v>1</v>
      </c>
      <c r="H624" s="5">
        <f t="shared" si="84"/>
        <v>6.9226509137899203E-3</v>
      </c>
      <c r="I624" s="4">
        <f t="shared" si="85"/>
        <v>-1.5884139219808455E-2</v>
      </c>
      <c r="J624" s="4">
        <f t="shared" si="86"/>
        <v>2.1464075915047447E-2</v>
      </c>
      <c r="K624" s="4">
        <f t="shared" si="87"/>
        <v>2.0160310905999516E-2</v>
      </c>
      <c r="L624" s="4">
        <f t="shared" si="88"/>
        <v>-0.12195121951219512</v>
      </c>
      <c r="M624" s="3">
        <f t="shared" si="81"/>
        <v>3</v>
      </c>
      <c r="N624" s="3">
        <f t="shared" si="82"/>
        <v>8</v>
      </c>
      <c r="O624" s="3">
        <f t="shared" si="83"/>
        <v>2</v>
      </c>
    </row>
    <row r="625" spans="1:15" x14ac:dyDescent="0.2">
      <c r="A625" s="2">
        <v>44629</v>
      </c>
      <c r="B625" s="3">
        <v>23277</v>
      </c>
      <c r="C625" s="3">
        <v>22295</v>
      </c>
      <c r="D625" s="3">
        <v>23510</v>
      </c>
      <c r="E625" s="3">
        <v>22285</v>
      </c>
      <c r="F625" s="3">
        <v>320</v>
      </c>
      <c r="G625" s="7">
        <f t="shared" si="89"/>
        <v>1</v>
      </c>
      <c r="H625" s="5">
        <f t="shared" si="84"/>
        <v>6.6871390594921629E-2</v>
      </c>
      <c r="I625" s="4">
        <f t="shared" si="85"/>
        <v>5.8390695466413484E-2</v>
      </c>
      <c r="J625" s="4">
        <f t="shared" si="86"/>
        <v>4.0035390400353907E-2</v>
      </c>
      <c r="K625" s="4">
        <f t="shared" si="87"/>
        <v>6.1190476190476191E-2</v>
      </c>
      <c r="L625" s="4">
        <f t="shared" si="88"/>
        <v>-0.1111111111111111</v>
      </c>
      <c r="M625" s="3">
        <f t="shared" si="81"/>
        <v>3</v>
      </c>
      <c r="N625" s="3">
        <f t="shared" si="82"/>
        <v>9</v>
      </c>
      <c r="O625" s="3">
        <f t="shared" si="83"/>
        <v>3</v>
      </c>
    </row>
    <row r="626" spans="1:15" x14ac:dyDescent="0.2">
      <c r="A626" s="2">
        <v>44630</v>
      </c>
      <c r="B626" s="3">
        <v>22337</v>
      </c>
      <c r="C626" s="3">
        <v>23165</v>
      </c>
      <c r="D626" s="3">
        <v>23345</v>
      </c>
      <c r="E626" s="3">
        <v>22280</v>
      </c>
      <c r="F626" s="3">
        <v>880</v>
      </c>
      <c r="G626" s="7">
        <f t="shared" si="89"/>
        <v>0</v>
      </c>
      <c r="H626" s="5">
        <f t="shared" si="84"/>
        <v>-4.0383210894874767E-2</v>
      </c>
      <c r="I626" s="4">
        <f t="shared" si="85"/>
        <v>3.9022202287508412E-2</v>
      </c>
      <c r="J626" s="4">
        <f t="shared" si="86"/>
        <v>-7.0182900893236916E-3</v>
      </c>
      <c r="K626" s="4">
        <f t="shared" si="87"/>
        <v>-2.243661655822302E-4</v>
      </c>
      <c r="L626" s="4">
        <f t="shared" si="88"/>
        <v>1.75</v>
      </c>
      <c r="M626" s="3">
        <f t="shared" si="81"/>
        <v>3</v>
      </c>
      <c r="N626" s="3">
        <f t="shared" si="82"/>
        <v>10</v>
      </c>
      <c r="O626" s="3">
        <f t="shared" si="83"/>
        <v>4</v>
      </c>
    </row>
    <row r="627" spans="1:15" x14ac:dyDescent="0.2">
      <c r="A627" s="2">
        <v>44631</v>
      </c>
      <c r="B627" s="3">
        <v>22491</v>
      </c>
      <c r="C627" s="3">
        <v>22515</v>
      </c>
      <c r="D627" s="3">
        <v>23020</v>
      </c>
      <c r="E627" s="3">
        <v>22215</v>
      </c>
      <c r="F627" s="3">
        <v>3290</v>
      </c>
      <c r="G627" s="7">
        <f t="shared" si="89"/>
        <v>1</v>
      </c>
      <c r="H627" s="5">
        <f t="shared" si="84"/>
        <v>6.8943904732058914E-3</v>
      </c>
      <c r="I627" s="4">
        <f t="shared" si="85"/>
        <v>-2.8059572631124543E-2</v>
      </c>
      <c r="J627" s="4">
        <f t="shared" si="86"/>
        <v>-1.3921610623259799E-2</v>
      </c>
      <c r="K627" s="4">
        <f t="shared" si="87"/>
        <v>-2.9174147217235187E-3</v>
      </c>
      <c r="L627" s="4">
        <f t="shared" si="88"/>
        <v>2.7386363636363638</v>
      </c>
      <c r="M627" s="3">
        <f t="shared" si="81"/>
        <v>3</v>
      </c>
      <c r="N627" s="3">
        <f t="shared" si="82"/>
        <v>11</v>
      </c>
      <c r="O627" s="3">
        <f t="shared" si="83"/>
        <v>5</v>
      </c>
    </row>
    <row r="628" spans="1:15" x14ac:dyDescent="0.2">
      <c r="A628" s="2">
        <v>44634</v>
      </c>
      <c r="B628" s="3">
        <v>22843</v>
      </c>
      <c r="C628" s="3">
        <v>22665</v>
      </c>
      <c r="D628" s="3">
        <v>23035</v>
      </c>
      <c r="E628" s="3">
        <v>22630</v>
      </c>
      <c r="F628" s="3">
        <v>12500</v>
      </c>
      <c r="G628" s="7">
        <f t="shared" si="89"/>
        <v>1</v>
      </c>
      <c r="H628" s="5">
        <f t="shared" si="84"/>
        <v>1.565070472633498E-2</v>
      </c>
      <c r="I628" s="4">
        <f t="shared" si="85"/>
        <v>6.6622251832111927E-3</v>
      </c>
      <c r="J628" s="4">
        <f t="shared" si="86"/>
        <v>6.5160729800173766E-4</v>
      </c>
      <c r="K628" s="4">
        <f t="shared" si="87"/>
        <v>1.8681071348188163E-2</v>
      </c>
      <c r="L628" s="4">
        <f t="shared" si="88"/>
        <v>2.7993920972644375</v>
      </c>
      <c r="M628" s="3">
        <f t="shared" si="81"/>
        <v>3</v>
      </c>
      <c r="N628" s="3">
        <f t="shared" si="82"/>
        <v>14</v>
      </c>
      <c r="O628" s="3">
        <f t="shared" si="83"/>
        <v>1</v>
      </c>
    </row>
    <row r="629" spans="1:15" x14ac:dyDescent="0.2">
      <c r="A629" s="2">
        <v>44635</v>
      </c>
      <c r="B629" s="3">
        <v>22940</v>
      </c>
      <c r="C629" s="3">
        <v>22705</v>
      </c>
      <c r="D629" s="3">
        <v>23075</v>
      </c>
      <c r="E629" s="3">
        <v>22365</v>
      </c>
      <c r="F629" s="3">
        <v>26300</v>
      </c>
      <c r="G629" s="7">
        <f t="shared" si="89"/>
        <v>1</v>
      </c>
      <c r="H629" s="5">
        <f t="shared" si="84"/>
        <v>4.2463774460447402E-3</v>
      </c>
      <c r="I629" s="4">
        <f t="shared" si="85"/>
        <v>1.7648356496801235E-3</v>
      </c>
      <c r="J629" s="4">
        <f t="shared" si="86"/>
        <v>1.7364879531148252E-3</v>
      </c>
      <c r="K629" s="4">
        <f t="shared" si="87"/>
        <v>-1.171011931064958E-2</v>
      </c>
      <c r="L629" s="4">
        <f t="shared" si="88"/>
        <v>1.1040000000000001</v>
      </c>
      <c r="M629" s="3">
        <f t="shared" si="81"/>
        <v>3</v>
      </c>
      <c r="N629" s="3">
        <f t="shared" si="82"/>
        <v>15</v>
      </c>
      <c r="O629" s="3">
        <f t="shared" si="83"/>
        <v>2</v>
      </c>
    </row>
    <row r="630" spans="1:15" x14ac:dyDescent="0.2">
      <c r="A630" s="2">
        <v>44636</v>
      </c>
      <c r="B630" s="3">
        <v>23727</v>
      </c>
      <c r="C630" s="3">
        <v>23290</v>
      </c>
      <c r="D630" s="3">
        <v>23900</v>
      </c>
      <c r="E630" s="3">
        <v>23290</v>
      </c>
      <c r="F630" s="3">
        <v>20230</v>
      </c>
      <c r="G630" s="7">
        <f t="shared" si="89"/>
        <v>1</v>
      </c>
      <c r="H630" s="5">
        <f t="shared" si="84"/>
        <v>3.4306887532693987E-2</v>
      </c>
      <c r="I630" s="4">
        <f t="shared" si="85"/>
        <v>2.5765249944946046E-2</v>
      </c>
      <c r="J630" s="4">
        <f t="shared" si="86"/>
        <v>3.5752979414951244E-2</v>
      </c>
      <c r="K630" s="4">
        <f t="shared" si="87"/>
        <v>4.1359266711379385E-2</v>
      </c>
      <c r="L630" s="4">
        <f t="shared" si="88"/>
        <v>-0.23079847908745246</v>
      </c>
      <c r="M630" s="3">
        <f t="shared" si="81"/>
        <v>3</v>
      </c>
      <c r="N630" s="3">
        <f t="shared" si="82"/>
        <v>16</v>
      </c>
      <c r="O630" s="3">
        <f t="shared" si="83"/>
        <v>3</v>
      </c>
    </row>
    <row r="631" spans="1:15" x14ac:dyDescent="0.2">
      <c r="A631" s="2">
        <v>44637</v>
      </c>
      <c r="B631" s="3">
        <v>23588</v>
      </c>
      <c r="C631" s="3">
        <v>23820</v>
      </c>
      <c r="D631" s="3">
        <v>23890</v>
      </c>
      <c r="E631" s="3">
        <v>23275</v>
      </c>
      <c r="F631" s="3">
        <v>18300</v>
      </c>
      <c r="G631" s="7">
        <f t="shared" si="89"/>
        <v>0</v>
      </c>
      <c r="H631" s="5">
        <f t="shared" si="84"/>
        <v>-5.8583048847304755E-3</v>
      </c>
      <c r="I631" s="4">
        <f t="shared" si="85"/>
        <v>2.2756547874624302E-2</v>
      </c>
      <c r="J631" s="4">
        <f t="shared" si="86"/>
        <v>-4.1841004184100416E-4</v>
      </c>
      <c r="K631" s="4">
        <f t="shared" si="87"/>
        <v>-6.440532417346501E-4</v>
      </c>
      <c r="L631" s="4">
        <f t="shared" si="88"/>
        <v>-9.5402867029164604E-2</v>
      </c>
      <c r="M631" s="3">
        <f t="shared" si="81"/>
        <v>3</v>
      </c>
      <c r="N631" s="3">
        <f t="shared" si="82"/>
        <v>17</v>
      </c>
      <c r="O631" s="3">
        <f t="shared" si="83"/>
        <v>4</v>
      </c>
    </row>
    <row r="632" spans="1:15" x14ac:dyDescent="0.2">
      <c r="A632" s="2">
        <v>44638</v>
      </c>
      <c r="B632" s="3">
        <v>23620</v>
      </c>
      <c r="C632" s="3">
        <v>23510</v>
      </c>
      <c r="D632" s="3">
        <v>23790</v>
      </c>
      <c r="E632" s="3">
        <v>23250</v>
      </c>
      <c r="F632" s="3">
        <v>22150</v>
      </c>
      <c r="G632" s="7">
        <f t="shared" si="89"/>
        <v>1</v>
      </c>
      <c r="H632" s="5">
        <f t="shared" si="84"/>
        <v>1.3566220111921317E-3</v>
      </c>
      <c r="I632" s="4">
        <f t="shared" si="85"/>
        <v>-1.3014273719563391E-2</v>
      </c>
      <c r="J632" s="4">
        <f t="shared" si="86"/>
        <v>-4.1858518208455417E-3</v>
      </c>
      <c r="K632" s="4">
        <f t="shared" si="87"/>
        <v>-1.0741138560687433E-3</v>
      </c>
      <c r="L632" s="4">
        <f t="shared" si="88"/>
        <v>0.2103825136612022</v>
      </c>
      <c r="M632" s="3">
        <f t="shared" si="81"/>
        <v>3</v>
      </c>
      <c r="N632" s="3">
        <f t="shared" si="82"/>
        <v>18</v>
      </c>
      <c r="O632" s="3">
        <f t="shared" si="83"/>
        <v>5</v>
      </c>
    </row>
    <row r="633" spans="1:15" x14ac:dyDescent="0.2">
      <c r="A633" s="2">
        <v>44641</v>
      </c>
      <c r="B633" s="3">
        <v>23542</v>
      </c>
      <c r="C633" s="3">
        <v>23655</v>
      </c>
      <c r="D633" s="3">
        <v>23690</v>
      </c>
      <c r="E633" s="3">
        <v>23605</v>
      </c>
      <c r="F633" s="3">
        <v>10</v>
      </c>
      <c r="G633" s="7">
        <f t="shared" si="89"/>
        <v>0</v>
      </c>
      <c r="H633" s="5">
        <f t="shared" si="84"/>
        <v>-3.3022861981371718E-3</v>
      </c>
      <c r="I633" s="4">
        <f t="shared" si="85"/>
        <v>6.1675882603147601E-3</v>
      </c>
      <c r="J633" s="4">
        <f t="shared" si="86"/>
        <v>-4.2034468263976461E-3</v>
      </c>
      <c r="K633" s="4">
        <f t="shared" si="87"/>
        <v>1.5268817204301075E-2</v>
      </c>
      <c r="L633" s="4">
        <f t="shared" si="88"/>
        <v>-0.999548532731377</v>
      </c>
      <c r="M633" s="3">
        <f t="shared" si="81"/>
        <v>3</v>
      </c>
      <c r="N633" s="3">
        <f t="shared" si="82"/>
        <v>21</v>
      </c>
      <c r="O633" s="3">
        <f t="shared" si="83"/>
        <v>1</v>
      </c>
    </row>
    <row r="634" spans="1:15" x14ac:dyDescent="0.2">
      <c r="A634" s="2">
        <v>44642</v>
      </c>
      <c r="B634" s="3">
        <v>23803</v>
      </c>
      <c r="C634" s="3">
        <v>23765</v>
      </c>
      <c r="D634" s="3">
        <v>23830</v>
      </c>
      <c r="E634" s="3">
        <v>23755</v>
      </c>
      <c r="F634" s="3">
        <v>30</v>
      </c>
      <c r="G634" s="7">
        <f t="shared" si="89"/>
        <v>1</v>
      </c>
      <c r="H634" s="5">
        <f t="shared" si="84"/>
        <v>1.1086568685753122E-2</v>
      </c>
      <c r="I634" s="4">
        <f t="shared" si="85"/>
        <v>4.6501796660325511E-3</v>
      </c>
      <c r="J634" s="4">
        <f t="shared" si="86"/>
        <v>5.9096665259603205E-3</v>
      </c>
      <c r="K634" s="4">
        <f t="shared" si="87"/>
        <v>6.3545858928193179E-3</v>
      </c>
      <c r="L634" s="4">
        <f t="shared" si="88"/>
        <v>2</v>
      </c>
      <c r="M634" s="3">
        <f t="shared" si="81"/>
        <v>3</v>
      </c>
      <c r="N634" s="3">
        <f t="shared" si="82"/>
        <v>22</v>
      </c>
      <c r="O634" s="3">
        <f t="shared" si="83"/>
        <v>2</v>
      </c>
    </row>
    <row r="635" spans="1:15" x14ac:dyDescent="0.2">
      <c r="A635" s="2">
        <v>44643</v>
      </c>
      <c r="B635" s="3">
        <v>23561</v>
      </c>
      <c r="C635" s="3">
        <v>23875</v>
      </c>
      <c r="D635" s="3">
        <v>23875</v>
      </c>
      <c r="E635" s="3">
        <v>23450</v>
      </c>
      <c r="F635" s="3">
        <v>20</v>
      </c>
      <c r="G635" s="7">
        <f t="shared" si="89"/>
        <v>0</v>
      </c>
      <c r="H635" s="5">
        <f t="shared" si="84"/>
        <v>-1.0166785699281602E-2</v>
      </c>
      <c r="I635" s="4">
        <f t="shared" si="85"/>
        <v>4.6286555859457188E-3</v>
      </c>
      <c r="J635" s="4">
        <f t="shared" si="86"/>
        <v>1.8883759966428872E-3</v>
      </c>
      <c r="K635" s="4">
        <f t="shared" si="87"/>
        <v>-1.2839402231109241E-2</v>
      </c>
      <c r="L635" s="4">
        <f t="shared" si="88"/>
        <v>-0.33333333333333331</v>
      </c>
      <c r="M635" s="3">
        <f t="shared" si="81"/>
        <v>3</v>
      </c>
      <c r="N635" s="3">
        <f t="shared" si="82"/>
        <v>23</v>
      </c>
      <c r="O635" s="3">
        <f t="shared" si="83"/>
        <v>3</v>
      </c>
    </row>
    <row r="636" spans="1:15" x14ac:dyDescent="0.2">
      <c r="A636" s="2">
        <v>44644</v>
      </c>
      <c r="B636" s="3">
        <v>23663</v>
      </c>
      <c r="C636" s="3">
        <v>23635</v>
      </c>
      <c r="D636" s="3">
        <v>23765</v>
      </c>
      <c r="E636" s="3">
        <v>23540</v>
      </c>
      <c r="F636" s="3">
        <v>50</v>
      </c>
      <c r="G636" s="7">
        <f t="shared" si="89"/>
        <v>1</v>
      </c>
      <c r="H636" s="5">
        <f t="shared" si="84"/>
        <v>4.3291880650227071E-3</v>
      </c>
      <c r="I636" s="4">
        <f t="shared" si="85"/>
        <v>-1.0052356020942408E-2</v>
      </c>
      <c r="J636" s="4">
        <f t="shared" si="86"/>
        <v>-4.6073298429319372E-3</v>
      </c>
      <c r="K636" s="4">
        <f t="shared" si="87"/>
        <v>3.8379530916844351E-3</v>
      </c>
      <c r="L636" s="4">
        <f t="shared" si="88"/>
        <v>1.5</v>
      </c>
      <c r="M636" s="3">
        <f t="shared" si="81"/>
        <v>3</v>
      </c>
      <c r="N636" s="3">
        <f t="shared" si="82"/>
        <v>24</v>
      </c>
      <c r="O636" s="3">
        <f t="shared" si="83"/>
        <v>4</v>
      </c>
    </row>
    <row r="637" spans="1:15" x14ac:dyDescent="0.2">
      <c r="A637" s="2">
        <v>44645</v>
      </c>
      <c r="B637" s="3">
        <v>23800</v>
      </c>
      <c r="C637" s="3">
        <v>23710</v>
      </c>
      <c r="D637" s="3">
        <v>23860</v>
      </c>
      <c r="E637" s="3">
        <v>23630</v>
      </c>
      <c r="F637" s="3">
        <v>40</v>
      </c>
      <c r="G637" s="7">
        <f t="shared" si="89"/>
        <v>1</v>
      </c>
      <c r="H637" s="5">
        <f t="shared" si="84"/>
        <v>5.7896293791995946E-3</v>
      </c>
      <c r="I637" s="4">
        <f t="shared" si="85"/>
        <v>3.1732599957689867E-3</v>
      </c>
      <c r="J637" s="4">
        <f t="shared" si="86"/>
        <v>3.9974752787713024E-3</v>
      </c>
      <c r="K637" s="4">
        <f t="shared" si="87"/>
        <v>3.8232795242141037E-3</v>
      </c>
      <c r="L637" s="4">
        <f t="shared" si="88"/>
        <v>-0.2</v>
      </c>
      <c r="M637" s="3">
        <f t="shared" si="81"/>
        <v>3</v>
      </c>
      <c r="N637" s="3">
        <f t="shared" si="82"/>
        <v>25</v>
      </c>
      <c r="O637" s="3">
        <f t="shared" si="83"/>
        <v>5</v>
      </c>
    </row>
    <row r="638" spans="1:15" x14ac:dyDescent="0.2">
      <c r="A638" s="2">
        <v>44648</v>
      </c>
      <c r="B638" s="3">
        <v>23958</v>
      </c>
      <c r="C638" s="3">
        <v>24005</v>
      </c>
      <c r="D638" s="3">
        <v>24305</v>
      </c>
      <c r="E638" s="3">
        <v>23920</v>
      </c>
      <c r="F638" s="3">
        <v>40</v>
      </c>
      <c r="G638" s="7">
        <f t="shared" si="89"/>
        <v>1</v>
      </c>
      <c r="H638" s="5">
        <f t="shared" si="84"/>
        <v>6.638655462184874E-3</v>
      </c>
      <c r="I638" s="4">
        <f t="shared" si="85"/>
        <v>1.2442007591733445E-2</v>
      </c>
      <c r="J638" s="4">
        <f t="shared" si="86"/>
        <v>1.8650461022632021E-2</v>
      </c>
      <c r="K638" s="4">
        <f t="shared" si="87"/>
        <v>1.2272534913245875E-2</v>
      </c>
      <c r="L638" s="4">
        <f t="shared" si="88"/>
        <v>0</v>
      </c>
      <c r="M638" s="3">
        <f t="shared" si="81"/>
        <v>3</v>
      </c>
      <c r="N638" s="3">
        <f t="shared" si="82"/>
        <v>28</v>
      </c>
      <c r="O638" s="3">
        <f t="shared" si="83"/>
        <v>1</v>
      </c>
    </row>
    <row r="639" spans="1:15" x14ac:dyDescent="0.2">
      <c r="A639" s="2">
        <v>44649</v>
      </c>
      <c r="B639" s="3">
        <v>24525</v>
      </c>
      <c r="C639" s="3">
        <v>24265</v>
      </c>
      <c r="D639" s="3">
        <v>24725</v>
      </c>
      <c r="E639" s="3">
        <v>24240</v>
      </c>
      <c r="F639" s="3">
        <v>70</v>
      </c>
      <c r="G639" s="7">
        <f t="shared" si="89"/>
        <v>1</v>
      </c>
      <c r="H639" s="5">
        <f t="shared" si="84"/>
        <v>2.3666416228399701E-2</v>
      </c>
      <c r="I639" s="4">
        <f t="shared" si="85"/>
        <v>1.0831076858987711E-2</v>
      </c>
      <c r="J639" s="4">
        <f t="shared" si="86"/>
        <v>1.7280394980456696E-2</v>
      </c>
      <c r="K639" s="4">
        <f t="shared" si="87"/>
        <v>1.3377926421404682E-2</v>
      </c>
      <c r="L639" s="4">
        <f t="shared" si="88"/>
        <v>0.75</v>
      </c>
      <c r="M639" s="3">
        <f t="shared" si="81"/>
        <v>3</v>
      </c>
      <c r="N639" s="3">
        <f t="shared" si="82"/>
        <v>29</v>
      </c>
      <c r="O639" s="3">
        <f t="shared" si="83"/>
        <v>2</v>
      </c>
    </row>
    <row r="640" spans="1:15" x14ac:dyDescent="0.2">
      <c r="A640" s="2">
        <v>44650</v>
      </c>
      <c r="B640" s="3">
        <v>24533</v>
      </c>
      <c r="C640" s="3">
        <v>24430</v>
      </c>
      <c r="D640" s="3">
        <v>24545</v>
      </c>
      <c r="E640" s="3">
        <v>24325</v>
      </c>
      <c r="F640" s="3">
        <v>50</v>
      </c>
      <c r="G640" s="7">
        <f t="shared" si="89"/>
        <v>1</v>
      </c>
      <c r="H640" s="5">
        <f t="shared" si="84"/>
        <v>3.2619775739041793E-4</v>
      </c>
      <c r="I640" s="4">
        <f t="shared" si="85"/>
        <v>6.799917576756645E-3</v>
      </c>
      <c r="J640" s="4">
        <f t="shared" si="86"/>
        <v>-7.2800808897876641E-3</v>
      </c>
      <c r="K640" s="4">
        <f t="shared" si="87"/>
        <v>3.5066006600660065E-3</v>
      </c>
      <c r="L640" s="4">
        <f t="shared" si="88"/>
        <v>-0.2857142857142857</v>
      </c>
      <c r="M640" s="3">
        <f t="shared" si="81"/>
        <v>3</v>
      </c>
      <c r="N640" s="3">
        <f t="shared" si="82"/>
        <v>30</v>
      </c>
      <c r="O640" s="3">
        <f t="shared" si="83"/>
        <v>3</v>
      </c>
    </row>
    <row r="641" spans="1:15" x14ac:dyDescent="0.2">
      <c r="A641" s="2">
        <v>44651</v>
      </c>
      <c r="B641" s="3">
        <v>24244</v>
      </c>
      <c r="C641" s="3">
        <v>24560</v>
      </c>
      <c r="D641" s="3">
        <v>24570</v>
      </c>
      <c r="E641" s="3">
        <v>24190</v>
      </c>
      <c r="F641" s="3">
        <v>30</v>
      </c>
      <c r="G641" s="7">
        <f t="shared" si="89"/>
        <v>0</v>
      </c>
      <c r="H641" s="5">
        <f t="shared" si="84"/>
        <v>-1.178005135939347E-2</v>
      </c>
      <c r="I641" s="4">
        <f t="shared" si="85"/>
        <v>5.3213262382316821E-3</v>
      </c>
      <c r="J641" s="4">
        <f t="shared" si="86"/>
        <v>1.0185373803218579E-3</v>
      </c>
      <c r="K641" s="4">
        <f t="shared" si="87"/>
        <v>-5.5498458376156221E-3</v>
      </c>
      <c r="L641" s="4">
        <f t="shared" si="88"/>
        <v>-0.4</v>
      </c>
      <c r="M641" s="3">
        <f t="shared" si="81"/>
        <v>3</v>
      </c>
      <c r="N641" s="3">
        <f t="shared" si="82"/>
        <v>31</v>
      </c>
      <c r="O641" s="3">
        <f t="shared" si="83"/>
        <v>4</v>
      </c>
    </row>
    <row r="642" spans="1:15" x14ac:dyDescent="0.2">
      <c r="A642" s="2">
        <v>44652</v>
      </c>
      <c r="B642" s="3">
        <v>24357</v>
      </c>
      <c r="C642" s="3">
        <v>24265</v>
      </c>
      <c r="D642" s="3">
        <v>24430</v>
      </c>
      <c r="E642" s="3">
        <v>24265</v>
      </c>
      <c r="F642" s="3">
        <v>10</v>
      </c>
      <c r="G642" s="7">
        <f t="shared" si="89"/>
        <v>1</v>
      </c>
      <c r="H642" s="5">
        <f t="shared" si="84"/>
        <v>4.6609470384425013E-3</v>
      </c>
      <c r="I642" s="4">
        <f t="shared" si="85"/>
        <v>-1.2011400651465798E-2</v>
      </c>
      <c r="J642" s="4">
        <f t="shared" si="86"/>
        <v>-5.6980056980056983E-3</v>
      </c>
      <c r="K642" s="4">
        <f t="shared" si="87"/>
        <v>3.1004547333608927E-3</v>
      </c>
      <c r="L642" s="4">
        <f t="shared" si="88"/>
        <v>-0.66666666666666663</v>
      </c>
      <c r="M642" s="3">
        <f t="shared" ref="M642:M705" si="90">MONTH(A642)</f>
        <v>4</v>
      </c>
      <c r="N642" s="3">
        <f t="shared" ref="N642:N705" si="91">DAY(A642)</f>
        <v>1</v>
      </c>
      <c r="O642" s="3">
        <f t="shared" ref="O642:O705" si="92">WEEKDAY(A642,2)</f>
        <v>5</v>
      </c>
    </row>
    <row r="643" spans="1:15" x14ac:dyDescent="0.2">
      <c r="A643" s="2">
        <v>44655</v>
      </c>
      <c r="B643" s="3">
        <v>24392</v>
      </c>
      <c r="C643" s="3">
        <v>24185</v>
      </c>
      <c r="D643" s="3">
        <v>24440</v>
      </c>
      <c r="E643" s="3">
        <v>24185</v>
      </c>
      <c r="F643" s="3">
        <v>50</v>
      </c>
      <c r="G643" s="7">
        <f t="shared" si="89"/>
        <v>1</v>
      </c>
      <c r="H643" s="5">
        <f t="shared" ref="H643:H706" si="93">(B643-B642)/B642</f>
        <v>1.436958574537094E-3</v>
      </c>
      <c r="I643" s="4">
        <f t="shared" ref="I643:I706" si="94">(C643-C642)/C642</f>
        <v>-3.2969297341850401E-3</v>
      </c>
      <c r="J643" s="4">
        <f t="shared" ref="J643:J706" si="95">(D643-D642)/D642</f>
        <v>4.0933278755628325E-4</v>
      </c>
      <c r="K643" s="4">
        <f t="shared" ref="K643:K706" si="96">(E643-E642)/E642</f>
        <v>-3.2969297341850401E-3</v>
      </c>
      <c r="L643" s="4">
        <f t="shared" ref="L643:L706" si="97">(F643-F642)/F642</f>
        <v>4</v>
      </c>
      <c r="M643" s="3">
        <f t="shared" si="90"/>
        <v>4</v>
      </c>
      <c r="N643" s="3">
        <f t="shared" si="91"/>
        <v>4</v>
      </c>
      <c r="O643" s="3">
        <f t="shared" si="92"/>
        <v>1</v>
      </c>
    </row>
    <row r="644" spans="1:15" x14ac:dyDescent="0.2">
      <c r="A644" s="2">
        <v>44656</v>
      </c>
      <c r="B644" s="3">
        <v>24187</v>
      </c>
      <c r="C644" s="3">
        <v>24345</v>
      </c>
      <c r="D644" s="3">
        <v>24455</v>
      </c>
      <c r="E644" s="3">
        <v>24040</v>
      </c>
      <c r="F644" s="3">
        <v>130</v>
      </c>
      <c r="G644" s="7">
        <f t="shared" ref="G644:G707" si="98">IF(H644&lt;0, 0, 1)</f>
        <v>0</v>
      </c>
      <c r="H644" s="5">
        <f t="shared" si="93"/>
        <v>-8.4043948835683824E-3</v>
      </c>
      <c r="I644" s="4">
        <f t="shared" si="94"/>
        <v>6.6156708703741986E-3</v>
      </c>
      <c r="J644" s="4">
        <f t="shared" si="95"/>
        <v>6.1374795417348609E-4</v>
      </c>
      <c r="K644" s="4">
        <f t="shared" si="96"/>
        <v>-5.9954517262766176E-3</v>
      </c>
      <c r="L644" s="4">
        <f t="shared" si="97"/>
        <v>1.6</v>
      </c>
      <c r="M644" s="3">
        <f t="shared" si="90"/>
        <v>4</v>
      </c>
      <c r="N644" s="3">
        <f t="shared" si="91"/>
        <v>5</v>
      </c>
      <c r="O644" s="3">
        <f t="shared" si="92"/>
        <v>2</v>
      </c>
    </row>
    <row r="645" spans="1:15" x14ac:dyDescent="0.2">
      <c r="A645" s="2">
        <v>44657</v>
      </c>
      <c r="B645" s="3">
        <v>23659</v>
      </c>
      <c r="C645" s="3">
        <v>24010</v>
      </c>
      <c r="D645" s="3">
        <v>24095</v>
      </c>
      <c r="E645" s="3">
        <v>23550</v>
      </c>
      <c r="F645" s="3">
        <v>30</v>
      </c>
      <c r="G645" s="7">
        <f t="shared" si="98"/>
        <v>0</v>
      </c>
      <c r="H645" s="5">
        <f t="shared" si="93"/>
        <v>-2.1829908628602141E-2</v>
      </c>
      <c r="I645" s="4">
        <f t="shared" si="94"/>
        <v>-1.3760525775313205E-2</v>
      </c>
      <c r="J645" s="4">
        <f t="shared" si="95"/>
        <v>-1.4720915968104683E-2</v>
      </c>
      <c r="K645" s="4">
        <f t="shared" si="96"/>
        <v>-2.038269550748752E-2</v>
      </c>
      <c r="L645" s="4">
        <f t="shared" si="97"/>
        <v>-0.76923076923076927</v>
      </c>
      <c r="M645" s="3">
        <f t="shared" si="90"/>
        <v>4</v>
      </c>
      <c r="N645" s="3">
        <f t="shared" si="91"/>
        <v>6</v>
      </c>
      <c r="O645" s="3">
        <f t="shared" si="92"/>
        <v>3</v>
      </c>
    </row>
    <row r="646" spans="1:15" x14ac:dyDescent="0.2">
      <c r="A646" s="2">
        <v>44658</v>
      </c>
      <c r="B646" s="3">
        <v>23529</v>
      </c>
      <c r="C646" s="3">
        <v>23820</v>
      </c>
      <c r="D646" s="3">
        <v>23980</v>
      </c>
      <c r="E646" s="3">
        <v>23540</v>
      </c>
      <c r="F646" s="3">
        <v>30</v>
      </c>
      <c r="G646" s="7">
        <f t="shared" si="98"/>
        <v>0</v>
      </c>
      <c r="H646" s="5">
        <f t="shared" si="93"/>
        <v>-5.4947377319413335E-3</v>
      </c>
      <c r="I646" s="4">
        <f t="shared" si="94"/>
        <v>-7.9133694294044148E-3</v>
      </c>
      <c r="J646" s="4">
        <f t="shared" si="95"/>
        <v>-4.7727744345299854E-3</v>
      </c>
      <c r="K646" s="4">
        <f t="shared" si="96"/>
        <v>-4.2462845010615713E-4</v>
      </c>
      <c r="L646" s="4">
        <f t="shared" si="97"/>
        <v>0</v>
      </c>
      <c r="M646" s="3">
        <f t="shared" si="90"/>
        <v>4</v>
      </c>
      <c r="N646" s="3">
        <f t="shared" si="91"/>
        <v>7</v>
      </c>
      <c r="O646" s="3">
        <f t="shared" si="92"/>
        <v>4</v>
      </c>
    </row>
    <row r="647" spans="1:15" x14ac:dyDescent="0.2">
      <c r="A647" s="2">
        <v>44659</v>
      </c>
      <c r="B647" s="3">
        <v>24051</v>
      </c>
      <c r="C647" s="3">
        <v>23935</v>
      </c>
      <c r="D647" s="3">
        <v>24070</v>
      </c>
      <c r="E647" s="3">
        <v>23895</v>
      </c>
      <c r="F647" s="3">
        <v>10</v>
      </c>
      <c r="G647" s="7">
        <f t="shared" si="98"/>
        <v>1</v>
      </c>
      <c r="H647" s="5">
        <f t="shared" si="93"/>
        <v>2.2185388244294276E-2</v>
      </c>
      <c r="I647" s="4">
        <f t="shared" si="94"/>
        <v>4.8278757346767419E-3</v>
      </c>
      <c r="J647" s="4">
        <f t="shared" si="95"/>
        <v>3.7531276063386154E-3</v>
      </c>
      <c r="K647" s="4">
        <f t="shared" si="96"/>
        <v>1.508071367884452E-2</v>
      </c>
      <c r="L647" s="4">
        <f t="shared" si="97"/>
        <v>-0.66666666666666663</v>
      </c>
      <c r="M647" s="3">
        <f t="shared" si="90"/>
        <v>4</v>
      </c>
      <c r="N647" s="3">
        <f t="shared" si="91"/>
        <v>8</v>
      </c>
      <c r="O647" s="3">
        <f t="shared" si="92"/>
        <v>5</v>
      </c>
    </row>
    <row r="648" spans="1:15" x14ac:dyDescent="0.2">
      <c r="A648" s="2">
        <v>44662</v>
      </c>
      <c r="B648" s="3">
        <v>24014</v>
      </c>
      <c r="C648" s="3">
        <v>24100</v>
      </c>
      <c r="D648" s="3">
        <v>24205</v>
      </c>
      <c r="E648" s="3">
        <v>23855</v>
      </c>
      <c r="F648" s="3">
        <v>40</v>
      </c>
      <c r="G648" s="7">
        <f t="shared" si="98"/>
        <v>0</v>
      </c>
      <c r="H648" s="5">
        <f t="shared" si="93"/>
        <v>-1.5383975718265353E-3</v>
      </c>
      <c r="I648" s="4">
        <f t="shared" si="94"/>
        <v>6.8936703572174641E-3</v>
      </c>
      <c r="J648" s="4">
        <f t="shared" si="95"/>
        <v>5.6086414624013292E-3</v>
      </c>
      <c r="K648" s="4">
        <f t="shared" si="96"/>
        <v>-1.6739903745553464E-3</v>
      </c>
      <c r="L648" s="4">
        <f t="shared" si="97"/>
        <v>3</v>
      </c>
      <c r="M648" s="3">
        <f t="shared" si="90"/>
        <v>4</v>
      </c>
      <c r="N648" s="3">
        <f t="shared" si="91"/>
        <v>11</v>
      </c>
      <c r="O648" s="3">
        <f t="shared" si="92"/>
        <v>1</v>
      </c>
    </row>
    <row r="649" spans="1:15" x14ac:dyDescent="0.2">
      <c r="A649" s="2">
        <v>44663</v>
      </c>
      <c r="B649" s="3">
        <v>23927</v>
      </c>
      <c r="C649" s="3">
        <v>23645</v>
      </c>
      <c r="D649" s="3">
        <v>23975</v>
      </c>
      <c r="E649" s="3">
        <v>23590</v>
      </c>
      <c r="F649" s="3">
        <v>70</v>
      </c>
      <c r="G649" s="7">
        <f t="shared" si="98"/>
        <v>0</v>
      </c>
      <c r="H649" s="5">
        <f t="shared" si="93"/>
        <v>-3.6228866494544851E-3</v>
      </c>
      <c r="I649" s="4">
        <f t="shared" si="94"/>
        <v>-1.887966804979253E-2</v>
      </c>
      <c r="J649" s="4">
        <f t="shared" si="95"/>
        <v>-9.5021689733526139E-3</v>
      </c>
      <c r="K649" s="4">
        <f t="shared" si="96"/>
        <v>-1.1108782225948438E-2</v>
      </c>
      <c r="L649" s="4">
        <f t="shared" si="97"/>
        <v>0.75</v>
      </c>
      <c r="M649" s="3">
        <f t="shared" si="90"/>
        <v>4</v>
      </c>
      <c r="N649" s="3">
        <f t="shared" si="91"/>
        <v>12</v>
      </c>
      <c r="O649" s="3">
        <f t="shared" si="92"/>
        <v>2</v>
      </c>
    </row>
    <row r="650" spans="1:15" x14ac:dyDescent="0.2">
      <c r="A650" s="2">
        <v>44664</v>
      </c>
      <c r="B650" s="3">
        <v>23961</v>
      </c>
      <c r="C650" s="3">
        <v>23870</v>
      </c>
      <c r="D650" s="3">
        <v>23985</v>
      </c>
      <c r="E650" s="3">
        <v>23790</v>
      </c>
      <c r="F650" s="3">
        <v>30</v>
      </c>
      <c r="G650" s="7">
        <f t="shared" si="98"/>
        <v>1</v>
      </c>
      <c r="H650" s="5">
        <f t="shared" si="93"/>
        <v>1.4209888410582187E-3</v>
      </c>
      <c r="I650" s="4">
        <f t="shared" si="94"/>
        <v>9.5157538591668436E-3</v>
      </c>
      <c r="J650" s="4">
        <f t="shared" si="95"/>
        <v>4.1710114702815432E-4</v>
      </c>
      <c r="K650" s="4">
        <f t="shared" si="96"/>
        <v>8.4781687155574392E-3</v>
      </c>
      <c r="L650" s="4">
        <f t="shared" si="97"/>
        <v>-0.5714285714285714</v>
      </c>
      <c r="M650" s="3">
        <f t="shared" si="90"/>
        <v>4</v>
      </c>
      <c r="N650" s="3">
        <f t="shared" si="91"/>
        <v>13</v>
      </c>
      <c r="O650" s="3">
        <f t="shared" si="92"/>
        <v>3</v>
      </c>
    </row>
    <row r="651" spans="1:15" x14ac:dyDescent="0.2">
      <c r="A651" s="2">
        <v>44665</v>
      </c>
      <c r="B651" s="3">
        <v>24130</v>
      </c>
      <c r="C651" s="3">
        <v>24050</v>
      </c>
      <c r="D651" s="3">
        <v>24105</v>
      </c>
      <c r="E651" s="3">
        <v>23945</v>
      </c>
      <c r="F651" s="3">
        <v>30</v>
      </c>
      <c r="G651" s="7">
        <f t="shared" si="98"/>
        <v>1</v>
      </c>
      <c r="H651" s="5">
        <f t="shared" si="93"/>
        <v>7.0531279996661244E-3</v>
      </c>
      <c r="I651" s="4">
        <f t="shared" si="94"/>
        <v>7.5408462505236699E-3</v>
      </c>
      <c r="J651" s="4">
        <f t="shared" si="95"/>
        <v>5.0031269543464665E-3</v>
      </c>
      <c r="K651" s="4">
        <f t="shared" si="96"/>
        <v>6.5153425809163518E-3</v>
      </c>
      <c r="L651" s="4">
        <f t="shared" si="97"/>
        <v>0</v>
      </c>
      <c r="M651" s="3">
        <f t="shared" si="90"/>
        <v>4</v>
      </c>
      <c r="N651" s="3">
        <f t="shared" si="91"/>
        <v>14</v>
      </c>
      <c r="O651" s="3">
        <f t="shared" si="92"/>
        <v>4</v>
      </c>
    </row>
    <row r="652" spans="1:15" x14ac:dyDescent="0.2">
      <c r="A652" s="2">
        <v>44670</v>
      </c>
      <c r="B652" s="3">
        <v>24095</v>
      </c>
      <c r="C652" s="3">
        <v>24045</v>
      </c>
      <c r="D652" s="3">
        <v>24205</v>
      </c>
      <c r="E652" s="3">
        <v>23865</v>
      </c>
      <c r="F652" s="3">
        <v>20</v>
      </c>
      <c r="G652" s="7">
        <f t="shared" si="98"/>
        <v>0</v>
      </c>
      <c r="H652" s="5">
        <f t="shared" si="93"/>
        <v>-1.4504765851636966E-3</v>
      </c>
      <c r="I652" s="4">
        <f t="shared" si="94"/>
        <v>-2.0790020790020791E-4</v>
      </c>
      <c r="J652" s="4">
        <f t="shared" si="95"/>
        <v>4.1485169052063887E-3</v>
      </c>
      <c r="K652" s="4">
        <f t="shared" si="96"/>
        <v>-3.3409897682188348E-3</v>
      </c>
      <c r="L652" s="4">
        <f t="shared" si="97"/>
        <v>-0.33333333333333331</v>
      </c>
      <c r="M652" s="3">
        <f t="shared" si="90"/>
        <v>4</v>
      </c>
      <c r="N652" s="3">
        <f t="shared" si="91"/>
        <v>19</v>
      </c>
      <c r="O652" s="3">
        <f t="shared" si="92"/>
        <v>2</v>
      </c>
    </row>
    <row r="653" spans="1:15" x14ac:dyDescent="0.2">
      <c r="A653" s="2">
        <v>44671</v>
      </c>
      <c r="B653" s="3">
        <v>24380</v>
      </c>
      <c r="C653" s="3">
        <v>24120</v>
      </c>
      <c r="D653" s="3">
        <v>24395</v>
      </c>
      <c r="E653" s="3">
        <v>24120</v>
      </c>
      <c r="F653" s="3">
        <v>30</v>
      </c>
      <c r="G653" s="7">
        <f t="shared" si="98"/>
        <v>1</v>
      </c>
      <c r="H653" s="5">
        <f t="shared" si="93"/>
        <v>1.1828180120356921E-2</v>
      </c>
      <c r="I653" s="4">
        <f t="shared" si="94"/>
        <v>3.1191515907673115E-3</v>
      </c>
      <c r="J653" s="4">
        <f t="shared" si="95"/>
        <v>7.8496178475521584E-3</v>
      </c>
      <c r="K653" s="4">
        <f t="shared" si="96"/>
        <v>1.0685103708359522E-2</v>
      </c>
      <c r="L653" s="4">
        <f t="shared" si="97"/>
        <v>0.5</v>
      </c>
      <c r="M653" s="3">
        <f t="shared" si="90"/>
        <v>4</v>
      </c>
      <c r="N653" s="3">
        <f t="shared" si="91"/>
        <v>20</v>
      </c>
      <c r="O653" s="3">
        <f t="shared" si="92"/>
        <v>3</v>
      </c>
    </row>
    <row r="654" spans="1:15" x14ac:dyDescent="0.2">
      <c r="A654" s="2">
        <v>44672</v>
      </c>
      <c r="B654" s="3">
        <v>24324</v>
      </c>
      <c r="C654" s="3">
        <v>24330</v>
      </c>
      <c r="D654" s="3">
        <v>24475</v>
      </c>
      <c r="E654" s="3">
        <v>23930</v>
      </c>
      <c r="F654" s="3">
        <v>30</v>
      </c>
      <c r="G654" s="7">
        <f t="shared" si="98"/>
        <v>0</v>
      </c>
      <c r="H654" s="5">
        <f t="shared" si="93"/>
        <v>-2.2969647251845776E-3</v>
      </c>
      <c r="I654" s="4">
        <f t="shared" si="94"/>
        <v>8.7064676616915426E-3</v>
      </c>
      <c r="J654" s="4">
        <f t="shared" si="95"/>
        <v>3.279360524697684E-3</v>
      </c>
      <c r="K654" s="4">
        <f t="shared" si="96"/>
        <v>-7.8772802653399674E-3</v>
      </c>
      <c r="L654" s="4">
        <f t="shared" si="97"/>
        <v>0</v>
      </c>
      <c r="M654" s="3">
        <f t="shared" si="90"/>
        <v>4</v>
      </c>
      <c r="N654" s="3">
        <f t="shared" si="91"/>
        <v>21</v>
      </c>
      <c r="O654" s="3">
        <f t="shared" si="92"/>
        <v>4</v>
      </c>
    </row>
    <row r="655" spans="1:15" x14ac:dyDescent="0.2">
      <c r="A655" s="2">
        <v>44673</v>
      </c>
      <c r="B655" s="3">
        <v>23765</v>
      </c>
      <c r="C655" s="3">
        <v>23970</v>
      </c>
      <c r="D655" s="3">
        <v>23995</v>
      </c>
      <c r="E655" s="3">
        <v>23600</v>
      </c>
      <c r="F655" s="3">
        <v>40</v>
      </c>
      <c r="G655" s="7">
        <f t="shared" si="98"/>
        <v>0</v>
      </c>
      <c r="H655" s="5">
        <f t="shared" si="93"/>
        <v>-2.2981417530011511E-2</v>
      </c>
      <c r="I655" s="4">
        <f t="shared" si="94"/>
        <v>-1.4796547472256474E-2</v>
      </c>
      <c r="J655" s="4">
        <f t="shared" si="95"/>
        <v>-1.9611848825331971E-2</v>
      </c>
      <c r="K655" s="4">
        <f t="shared" si="96"/>
        <v>-1.3790221479314668E-2</v>
      </c>
      <c r="L655" s="4">
        <f t="shared" si="97"/>
        <v>0.33333333333333331</v>
      </c>
      <c r="M655" s="3">
        <f t="shared" si="90"/>
        <v>4</v>
      </c>
      <c r="N655" s="3">
        <f t="shared" si="91"/>
        <v>22</v>
      </c>
      <c r="O655" s="3">
        <f t="shared" si="92"/>
        <v>5</v>
      </c>
    </row>
    <row r="656" spans="1:15" x14ac:dyDescent="0.2">
      <c r="A656" s="2">
        <v>44676</v>
      </c>
      <c r="B656" s="3">
        <v>23416</v>
      </c>
      <c r="C656" s="3">
        <v>23530</v>
      </c>
      <c r="D656" s="3">
        <v>23720</v>
      </c>
      <c r="E656" s="3">
        <v>23230</v>
      </c>
      <c r="F656" s="3">
        <v>50</v>
      </c>
      <c r="G656" s="7">
        <f t="shared" si="98"/>
        <v>0</v>
      </c>
      <c r="H656" s="5">
        <f t="shared" si="93"/>
        <v>-1.4685461813591417E-2</v>
      </c>
      <c r="I656" s="4">
        <f t="shared" si="94"/>
        <v>-1.8356278681685441E-2</v>
      </c>
      <c r="J656" s="4">
        <f t="shared" si="95"/>
        <v>-1.1460720983538238E-2</v>
      </c>
      <c r="K656" s="4">
        <f t="shared" si="96"/>
        <v>-1.5677966101694914E-2</v>
      </c>
      <c r="L656" s="4">
        <f t="shared" si="97"/>
        <v>0.25</v>
      </c>
      <c r="M656" s="3">
        <f t="shared" si="90"/>
        <v>4</v>
      </c>
      <c r="N656" s="3">
        <f t="shared" si="91"/>
        <v>25</v>
      </c>
      <c r="O656" s="3">
        <f t="shared" si="92"/>
        <v>1</v>
      </c>
    </row>
    <row r="657" spans="1:15" x14ac:dyDescent="0.2">
      <c r="A657" s="2">
        <v>44677</v>
      </c>
      <c r="B657" s="3">
        <v>23186</v>
      </c>
      <c r="C657" s="3">
        <v>23565</v>
      </c>
      <c r="D657" s="3">
        <v>23565</v>
      </c>
      <c r="E657" s="3">
        <v>23000</v>
      </c>
      <c r="F657" s="3">
        <v>80</v>
      </c>
      <c r="G657" s="7">
        <f t="shared" si="98"/>
        <v>0</v>
      </c>
      <c r="H657" s="5">
        <f t="shared" si="93"/>
        <v>-9.8223436966176966E-3</v>
      </c>
      <c r="I657" s="4">
        <f t="shared" si="94"/>
        <v>1.4874628134296643E-3</v>
      </c>
      <c r="J657" s="4">
        <f t="shared" si="95"/>
        <v>-6.5345699831365935E-3</v>
      </c>
      <c r="K657" s="4">
        <f t="shared" si="96"/>
        <v>-9.9009900990099011E-3</v>
      </c>
      <c r="L657" s="4">
        <f t="shared" si="97"/>
        <v>0.6</v>
      </c>
      <c r="M657" s="3">
        <f t="shared" si="90"/>
        <v>4</v>
      </c>
      <c r="N657" s="3">
        <f t="shared" si="91"/>
        <v>26</v>
      </c>
      <c r="O657" s="3">
        <f t="shared" si="92"/>
        <v>2</v>
      </c>
    </row>
    <row r="658" spans="1:15" x14ac:dyDescent="0.2">
      <c r="A658" s="2">
        <v>44678</v>
      </c>
      <c r="B658" s="3">
        <v>23291</v>
      </c>
      <c r="C658" s="3">
        <v>23170</v>
      </c>
      <c r="D658" s="3">
        <v>23360</v>
      </c>
      <c r="E658" s="3">
        <v>22850</v>
      </c>
      <c r="F658" s="3">
        <v>30</v>
      </c>
      <c r="G658" s="7">
        <f t="shared" si="98"/>
        <v>1</v>
      </c>
      <c r="H658" s="5">
        <f t="shared" si="93"/>
        <v>4.5285948417148275E-3</v>
      </c>
      <c r="I658" s="4">
        <f t="shared" si="94"/>
        <v>-1.6762147252280923E-2</v>
      </c>
      <c r="J658" s="4">
        <f t="shared" si="95"/>
        <v>-8.6993422448546579E-3</v>
      </c>
      <c r="K658" s="4">
        <f t="shared" si="96"/>
        <v>-6.5217391304347823E-3</v>
      </c>
      <c r="L658" s="4">
        <f t="shared" si="97"/>
        <v>-0.625</v>
      </c>
      <c r="M658" s="3">
        <f t="shared" si="90"/>
        <v>4</v>
      </c>
      <c r="N658" s="3">
        <f t="shared" si="91"/>
        <v>27</v>
      </c>
      <c r="O658" s="3">
        <f t="shared" si="92"/>
        <v>3</v>
      </c>
    </row>
    <row r="659" spans="1:15" x14ac:dyDescent="0.2">
      <c r="A659" s="2">
        <v>44679</v>
      </c>
      <c r="B659" s="3">
        <v>23539</v>
      </c>
      <c r="C659" s="3">
        <v>23590</v>
      </c>
      <c r="D659" s="3">
        <v>23760</v>
      </c>
      <c r="E659" s="3">
        <v>23460</v>
      </c>
      <c r="F659" s="3">
        <v>80</v>
      </c>
      <c r="G659" s="7">
        <f t="shared" si="98"/>
        <v>1</v>
      </c>
      <c r="H659" s="5">
        <f t="shared" si="93"/>
        <v>1.0647889742819114E-2</v>
      </c>
      <c r="I659" s="4">
        <f t="shared" si="94"/>
        <v>1.812688821752266E-2</v>
      </c>
      <c r="J659" s="4">
        <f t="shared" si="95"/>
        <v>1.7123287671232876E-2</v>
      </c>
      <c r="K659" s="4">
        <f t="shared" si="96"/>
        <v>2.6695842450765863E-2</v>
      </c>
      <c r="L659" s="4">
        <f t="shared" si="97"/>
        <v>1.6666666666666667</v>
      </c>
      <c r="M659" s="3">
        <f t="shared" si="90"/>
        <v>4</v>
      </c>
      <c r="N659" s="3">
        <f t="shared" si="91"/>
        <v>28</v>
      </c>
      <c r="O659" s="3">
        <f t="shared" si="92"/>
        <v>4</v>
      </c>
    </row>
    <row r="660" spans="1:15" x14ac:dyDescent="0.2">
      <c r="A660" s="2">
        <v>44680</v>
      </c>
      <c r="B660" s="3">
        <v>23759</v>
      </c>
      <c r="C660" s="3">
        <v>23840</v>
      </c>
      <c r="D660" s="3">
        <v>23840</v>
      </c>
      <c r="E660" s="3">
        <v>23365</v>
      </c>
      <c r="F660" s="3">
        <v>50</v>
      </c>
      <c r="G660" s="7">
        <f t="shared" si="98"/>
        <v>1</v>
      </c>
      <c r="H660" s="5">
        <f t="shared" si="93"/>
        <v>9.3461914269934998E-3</v>
      </c>
      <c r="I660" s="4">
        <f t="shared" si="94"/>
        <v>1.0597710894446799E-2</v>
      </c>
      <c r="J660" s="4">
        <f t="shared" si="95"/>
        <v>3.3670033670033669E-3</v>
      </c>
      <c r="K660" s="4">
        <f t="shared" si="96"/>
        <v>-4.0494458653026425E-3</v>
      </c>
      <c r="L660" s="4">
        <f t="shared" si="97"/>
        <v>-0.375</v>
      </c>
      <c r="M660" s="3">
        <f t="shared" si="90"/>
        <v>4</v>
      </c>
      <c r="N660" s="3">
        <f t="shared" si="91"/>
        <v>29</v>
      </c>
      <c r="O660" s="3">
        <f t="shared" si="92"/>
        <v>5</v>
      </c>
    </row>
    <row r="661" spans="1:15" x14ac:dyDescent="0.2">
      <c r="A661" s="2">
        <v>44683</v>
      </c>
      <c r="B661" s="3">
        <v>23324</v>
      </c>
      <c r="C661" s="3">
        <v>23485</v>
      </c>
      <c r="D661" s="3">
        <v>23530</v>
      </c>
      <c r="E661" s="3">
        <v>23280</v>
      </c>
      <c r="F661" s="3">
        <v>60</v>
      </c>
      <c r="G661" s="7">
        <f t="shared" si="98"/>
        <v>0</v>
      </c>
      <c r="H661" s="5">
        <f t="shared" si="93"/>
        <v>-1.830885138263395E-2</v>
      </c>
      <c r="I661" s="4">
        <f t="shared" si="94"/>
        <v>-1.4890939597315436E-2</v>
      </c>
      <c r="J661" s="4">
        <f t="shared" si="95"/>
        <v>-1.3003355704697987E-2</v>
      </c>
      <c r="K661" s="4">
        <f t="shared" si="96"/>
        <v>-3.6379199657607534E-3</v>
      </c>
      <c r="L661" s="4">
        <f t="shared" si="97"/>
        <v>0.2</v>
      </c>
      <c r="M661" s="3">
        <f t="shared" si="90"/>
        <v>5</v>
      </c>
      <c r="N661" s="3">
        <f t="shared" si="91"/>
        <v>2</v>
      </c>
      <c r="O661" s="3">
        <f t="shared" si="92"/>
        <v>1</v>
      </c>
    </row>
    <row r="662" spans="1:15" x14ac:dyDescent="0.2">
      <c r="A662" s="2">
        <v>44684</v>
      </c>
      <c r="B662" s="3">
        <v>23729</v>
      </c>
      <c r="C662" s="3">
        <v>23510</v>
      </c>
      <c r="D662" s="3">
        <v>23750</v>
      </c>
      <c r="E662" s="3">
        <v>23500</v>
      </c>
      <c r="F662" s="3">
        <v>10</v>
      </c>
      <c r="G662" s="7">
        <f t="shared" si="98"/>
        <v>1</v>
      </c>
      <c r="H662" s="5">
        <f t="shared" si="93"/>
        <v>1.7364088492539873E-2</v>
      </c>
      <c r="I662" s="4">
        <f t="shared" si="94"/>
        <v>1.0645092612305727E-3</v>
      </c>
      <c r="J662" s="4">
        <f t="shared" si="95"/>
        <v>9.3497662558436039E-3</v>
      </c>
      <c r="K662" s="4">
        <f t="shared" si="96"/>
        <v>9.4501718213058413E-3</v>
      </c>
      <c r="L662" s="4">
        <f t="shared" si="97"/>
        <v>-0.83333333333333337</v>
      </c>
      <c r="M662" s="3">
        <f t="shared" si="90"/>
        <v>5</v>
      </c>
      <c r="N662" s="3">
        <f t="shared" si="91"/>
        <v>3</v>
      </c>
      <c r="O662" s="3">
        <f t="shared" si="92"/>
        <v>2</v>
      </c>
    </row>
    <row r="663" spans="1:15" x14ac:dyDescent="0.2">
      <c r="A663" s="2">
        <v>44685</v>
      </c>
      <c r="B663" s="3">
        <v>23391</v>
      </c>
      <c r="C663" s="3">
        <v>23710</v>
      </c>
      <c r="D663" s="3">
        <v>23710</v>
      </c>
      <c r="E663" s="3">
        <v>23410</v>
      </c>
      <c r="F663" s="3">
        <v>20</v>
      </c>
      <c r="G663" s="7">
        <f t="shared" si="98"/>
        <v>0</v>
      </c>
      <c r="H663" s="5">
        <f t="shared" si="93"/>
        <v>-1.424417379577732E-2</v>
      </c>
      <c r="I663" s="4">
        <f t="shared" si="94"/>
        <v>8.507018290089324E-3</v>
      </c>
      <c r="J663" s="4">
        <f t="shared" si="95"/>
        <v>-1.6842105263157896E-3</v>
      </c>
      <c r="K663" s="4">
        <f t="shared" si="96"/>
        <v>-3.829787234042553E-3</v>
      </c>
      <c r="L663" s="4">
        <f t="shared" si="97"/>
        <v>1</v>
      </c>
      <c r="M663" s="3">
        <f t="shared" si="90"/>
        <v>5</v>
      </c>
      <c r="N663" s="3">
        <f t="shared" si="91"/>
        <v>4</v>
      </c>
      <c r="O663" s="3">
        <f t="shared" si="92"/>
        <v>3</v>
      </c>
    </row>
    <row r="664" spans="1:15" x14ac:dyDescent="0.2">
      <c r="A664" s="2">
        <v>44686</v>
      </c>
      <c r="B664" s="3">
        <v>23257</v>
      </c>
      <c r="C664" s="3">
        <v>23980</v>
      </c>
      <c r="D664" s="3">
        <v>23980</v>
      </c>
      <c r="E664" s="3">
        <v>23105</v>
      </c>
      <c r="F664" s="3">
        <v>30</v>
      </c>
      <c r="G664" s="7">
        <f t="shared" si="98"/>
        <v>0</v>
      </c>
      <c r="H664" s="5">
        <f t="shared" si="93"/>
        <v>-5.7286990722927623E-3</v>
      </c>
      <c r="I664" s="4">
        <f t="shared" si="94"/>
        <v>1.1387600168705188E-2</v>
      </c>
      <c r="J664" s="4">
        <f t="shared" si="95"/>
        <v>1.1387600168705188E-2</v>
      </c>
      <c r="K664" s="4">
        <f t="shared" si="96"/>
        <v>-1.3028620247757368E-2</v>
      </c>
      <c r="L664" s="4">
        <f t="shared" si="97"/>
        <v>0.5</v>
      </c>
      <c r="M664" s="3">
        <f t="shared" si="90"/>
        <v>5</v>
      </c>
      <c r="N664" s="3">
        <f t="shared" si="91"/>
        <v>5</v>
      </c>
      <c r="O664" s="3">
        <f t="shared" si="92"/>
        <v>4</v>
      </c>
    </row>
    <row r="665" spans="1:15" x14ac:dyDescent="0.2">
      <c r="A665" s="2">
        <v>44687</v>
      </c>
      <c r="B665" s="3">
        <v>22997</v>
      </c>
      <c r="C665" s="3">
        <v>23130</v>
      </c>
      <c r="D665" s="3">
        <v>23300</v>
      </c>
      <c r="E665" s="3">
        <v>22870</v>
      </c>
      <c r="F665" s="3">
        <v>40</v>
      </c>
      <c r="G665" s="7">
        <f t="shared" si="98"/>
        <v>0</v>
      </c>
      <c r="H665" s="5">
        <f t="shared" si="93"/>
        <v>-1.1179429849077696E-2</v>
      </c>
      <c r="I665" s="4">
        <f t="shared" si="94"/>
        <v>-3.5446205170975811E-2</v>
      </c>
      <c r="J665" s="4">
        <f t="shared" si="95"/>
        <v>-2.8356964136780651E-2</v>
      </c>
      <c r="K665" s="4">
        <f t="shared" si="96"/>
        <v>-1.0170958666955204E-2</v>
      </c>
      <c r="L665" s="4">
        <f t="shared" si="97"/>
        <v>0.33333333333333331</v>
      </c>
      <c r="M665" s="3">
        <f t="shared" si="90"/>
        <v>5</v>
      </c>
      <c r="N665" s="3">
        <f t="shared" si="91"/>
        <v>6</v>
      </c>
      <c r="O665" s="3">
        <f t="shared" si="92"/>
        <v>5</v>
      </c>
    </row>
    <row r="666" spans="1:15" x14ac:dyDescent="0.2">
      <c r="A666" s="2">
        <v>44690</v>
      </c>
      <c r="B666" s="3">
        <v>22344</v>
      </c>
      <c r="C666" s="3">
        <v>22835</v>
      </c>
      <c r="D666" s="3">
        <v>23025</v>
      </c>
      <c r="E666" s="3">
        <v>22295</v>
      </c>
      <c r="F666" s="3">
        <v>80</v>
      </c>
      <c r="G666" s="7">
        <f t="shared" si="98"/>
        <v>0</v>
      </c>
      <c r="H666" s="5">
        <f t="shared" si="93"/>
        <v>-2.8395008044527548E-2</v>
      </c>
      <c r="I666" s="4">
        <f t="shared" si="94"/>
        <v>-1.2753999135322092E-2</v>
      </c>
      <c r="J666" s="4">
        <f t="shared" si="95"/>
        <v>-1.1802575107296138E-2</v>
      </c>
      <c r="K666" s="4">
        <f t="shared" si="96"/>
        <v>-2.5142107564494972E-2</v>
      </c>
      <c r="L666" s="4">
        <f t="shared" si="97"/>
        <v>1</v>
      </c>
      <c r="M666" s="3">
        <f t="shared" si="90"/>
        <v>5</v>
      </c>
      <c r="N666" s="3">
        <f t="shared" si="91"/>
        <v>9</v>
      </c>
      <c r="O666" s="3">
        <f t="shared" si="92"/>
        <v>1</v>
      </c>
    </row>
    <row r="667" spans="1:15" x14ac:dyDescent="0.2">
      <c r="A667" s="2">
        <v>44691</v>
      </c>
      <c r="B667" s="3">
        <v>22582</v>
      </c>
      <c r="C667" s="3">
        <v>22625</v>
      </c>
      <c r="D667" s="3">
        <v>22815</v>
      </c>
      <c r="E667" s="3">
        <v>22560</v>
      </c>
      <c r="F667" s="3">
        <v>40</v>
      </c>
      <c r="G667" s="7">
        <f t="shared" si="98"/>
        <v>1</v>
      </c>
      <c r="H667" s="5">
        <f t="shared" si="93"/>
        <v>1.0651629072681704E-2</v>
      </c>
      <c r="I667" s="4">
        <f t="shared" si="94"/>
        <v>-9.1964090212393254E-3</v>
      </c>
      <c r="J667" s="4">
        <f t="shared" si="95"/>
        <v>-9.120521172638436E-3</v>
      </c>
      <c r="K667" s="4">
        <f t="shared" si="96"/>
        <v>1.1886073110562907E-2</v>
      </c>
      <c r="L667" s="4">
        <f t="shared" si="97"/>
        <v>-0.5</v>
      </c>
      <c r="M667" s="3">
        <f t="shared" si="90"/>
        <v>5</v>
      </c>
      <c r="N667" s="3">
        <f t="shared" si="91"/>
        <v>10</v>
      </c>
      <c r="O667" s="3">
        <f t="shared" si="92"/>
        <v>2</v>
      </c>
    </row>
    <row r="668" spans="1:15" x14ac:dyDescent="0.2">
      <c r="A668" s="2">
        <v>44692</v>
      </c>
      <c r="B668" s="3">
        <v>23241</v>
      </c>
      <c r="C668" s="3">
        <v>22800</v>
      </c>
      <c r="D668" s="3">
        <v>23300</v>
      </c>
      <c r="E668" s="3">
        <v>22690</v>
      </c>
      <c r="F668" s="3">
        <v>550</v>
      </c>
      <c r="G668" s="7">
        <f t="shared" si="98"/>
        <v>1</v>
      </c>
      <c r="H668" s="5">
        <f t="shared" si="93"/>
        <v>2.9182534762199983E-2</v>
      </c>
      <c r="I668" s="4">
        <f t="shared" si="94"/>
        <v>7.7348066298342545E-3</v>
      </c>
      <c r="J668" s="4">
        <f t="shared" si="95"/>
        <v>2.1257944334867412E-2</v>
      </c>
      <c r="K668" s="4">
        <f t="shared" si="96"/>
        <v>5.7624113475177301E-3</v>
      </c>
      <c r="L668" s="4">
        <f t="shared" si="97"/>
        <v>12.75</v>
      </c>
      <c r="M668" s="3">
        <f t="shared" si="90"/>
        <v>5</v>
      </c>
      <c r="N668" s="3">
        <f t="shared" si="91"/>
        <v>11</v>
      </c>
      <c r="O668" s="3">
        <f t="shared" si="92"/>
        <v>3</v>
      </c>
    </row>
    <row r="669" spans="1:15" x14ac:dyDescent="0.2">
      <c r="A669" s="2">
        <v>44693</v>
      </c>
      <c r="B669" s="3">
        <v>23099</v>
      </c>
      <c r="C669" s="3">
        <v>22770</v>
      </c>
      <c r="D669" s="3">
        <v>23170</v>
      </c>
      <c r="E669" s="3">
        <v>22770</v>
      </c>
      <c r="F669" s="3">
        <v>50</v>
      </c>
      <c r="G669" s="7">
        <f t="shared" si="98"/>
        <v>0</v>
      </c>
      <c r="H669" s="5">
        <f t="shared" si="93"/>
        <v>-6.1098920012047676E-3</v>
      </c>
      <c r="I669" s="4">
        <f t="shared" si="94"/>
        <v>-1.3157894736842105E-3</v>
      </c>
      <c r="J669" s="4">
        <f t="shared" si="95"/>
        <v>-5.5793991416309011E-3</v>
      </c>
      <c r="K669" s="4">
        <f t="shared" si="96"/>
        <v>3.5257822829440283E-3</v>
      </c>
      <c r="L669" s="4">
        <f t="shared" si="97"/>
        <v>-0.90909090909090906</v>
      </c>
      <c r="M669" s="3">
        <f t="shared" si="90"/>
        <v>5</v>
      </c>
      <c r="N669" s="3">
        <f t="shared" si="91"/>
        <v>12</v>
      </c>
      <c r="O669" s="3">
        <f t="shared" si="92"/>
        <v>4</v>
      </c>
    </row>
    <row r="670" spans="1:15" x14ac:dyDescent="0.2">
      <c r="A670" s="2">
        <v>44694</v>
      </c>
      <c r="B670" s="3">
        <v>23546</v>
      </c>
      <c r="C670" s="3">
        <v>23260</v>
      </c>
      <c r="D670" s="3">
        <v>23550</v>
      </c>
      <c r="E670" s="3">
        <v>23185</v>
      </c>
      <c r="F670" s="3">
        <v>40</v>
      </c>
      <c r="G670" s="7">
        <f t="shared" si="98"/>
        <v>1</v>
      </c>
      <c r="H670" s="5">
        <f t="shared" si="93"/>
        <v>1.9351487077362655E-2</v>
      </c>
      <c r="I670" s="4">
        <f t="shared" si="94"/>
        <v>2.1519543258673692E-2</v>
      </c>
      <c r="J670" s="4">
        <f t="shared" si="95"/>
        <v>1.6400517911091931E-2</v>
      </c>
      <c r="K670" s="4">
        <f t="shared" si="96"/>
        <v>1.8225735617039964E-2</v>
      </c>
      <c r="L670" s="4">
        <f t="shared" si="97"/>
        <v>-0.2</v>
      </c>
      <c r="M670" s="3">
        <f t="shared" si="90"/>
        <v>5</v>
      </c>
      <c r="N670" s="3">
        <f t="shared" si="91"/>
        <v>13</v>
      </c>
      <c r="O670" s="3">
        <f t="shared" si="92"/>
        <v>5</v>
      </c>
    </row>
    <row r="671" spans="1:15" x14ac:dyDescent="0.2">
      <c r="A671" s="2">
        <v>44697</v>
      </c>
      <c r="B671" s="3">
        <v>23541</v>
      </c>
      <c r="C671" s="3">
        <v>23485</v>
      </c>
      <c r="D671" s="3">
        <v>23720</v>
      </c>
      <c r="E671" s="3">
        <v>23380</v>
      </c>
      <c r="F671" s="3">
        <v>60</v>
      </c>
      <c r="G671" s="7">
        <f t="shared" si="98"/>
        <v>0</v>
      </c>
      <c r="H671" s="5">
        <f t="shared" si="93"/>
        <v>-2.1235029304340439E-4</v>
      </c>
      <c r="I671" s="4">
        <f t="shared" si="94"/>
        <v>9.6732588134135853E-3</v>
      </c>
      <c r="J671" s="4">
        <f t="shared" si="95"/>
        <v>7.218683651804671E-3</v>
      </c>
      <c r="K671" s="4">
        <f t="shared" si="96"/>
        <v>8.4106103083890441E-3</v>
      </c>
      <c r="L671" s="4">
        <f t="shared" si="97"/>
        <v>0.5</v>
      </c>
      <c r="M671" s="3">
        <f t="shared" si="90"/>
        <v>5</v>
      </c>
      <c r="N671" s="3">
        <f t="shared" si="91"/>
        <v>16</v>
      </c>
      <c r="O671" s="3">
        <f t="shared" si="92"/>
        <v>1</v>
      </c>
    </row>
    <row r="672" spans="1:15" x14ac:dyDescent="0.2">
      <c r="A672" s="2">
        <v>44698</v>
      </c>
      <c r="B672" s="3">
        <v>23791</v>
      </c>
      <c r="C672" s="3">
        <v>23690</v>
      </c>
      <c r="D672" s="3">
        <v>23955</v>
      </c>
      <c r="E672" s="3">
        <v>23675</v>
      </c>
      <c r="F672" s="3">
        <v>30</v>
      </c>
      <c r="G672" s="7">
        <f t="shared" si="98"/>
        <v>1</v>
      </c>
      <c r="H672" s="5">
        <f t="shared" si="93"/>
        <v>1.061976976339153E-2</v>
      </c>
      <c r="I672" s="4">
        <f t="shared" si="94"/>
        <v>8.728975942090697E-3</v>
      </c>
      <c r="J672" s="4">
        <f t="shared" si="95"/>
        <v>9.9072512647554803E-3</v>
      </c>
      <c r="K672" s="4">
        <f t="shared" si="96"/>
        <v>1.2617621899059024E-2</v>
      </c>
      <c r="L672" s="4">
        <f t="shared" si="97"/>
        <v>-0.5</v>
      </c>
      <c r="M672" s="3">
        <f t="shared" si="90"/>
        <v>5</v>
      </c>
      <c r="N672" s="3">
        <f t="shared" si="91"/>
        <v>17</v>
      </c>
      <c r="O672" s="3">
        <f t="shared" si="92"/>
        <v>2</v>
      </c>
    </row>
    <row r="673" spans="1:15" x14ac:dyDescent="0.2">
      <c r="A673" s="2">
        <v>44699</v>
      </c>
      <c r="B673" s="3">
        <v>23573</v>
      </c>
      <c r="C673" s="3">
        <v>23820</v>
      </c>
      <c r="D673" s="3">
        <v>23830</v>
      </c>
      <c r="E673" s="3">
        <v>23350</v>
      </c>
      <c r="F673" s="3">
        <v>30</v>
      </c>
      <c r="G673" s="7">
        <f t="shared" si="98"/>
        <v>0</v>
      </c>
      <c r="H673" s="5">
        <f t="shared" si="93"/>
        <v>-9.1631289142953213E-3</v>
      </c>
      <c r="I673" s="4">
        <f t="shared" si="94"/>
        <v>5.4875474883917261E-3</v>
      </c>
      <c r="J673" s="4">
        <f t="shared" si="95"/>
        <v>-5.2181173032769777E-3</v>
      </c>
      <c r="K673" s="4">
        <f t="shared" si="96"/>
        <v>-1.3727560718057022E-2</v>
      </c>
      <c r="L673" s="4">
        <f t="shared" si="97"/>
        <v>0</v>
      </c>
      <c r="M673" s="3">
        <f t="shared" si="90"/>
        <v>5</v>
      </c>
      <c r="N673" s="3">
        <f t="shared" si="91"/>
        <v>18</v>
      </c>
      <c r="O673" s="3">
        <f t="shared" si="92"/>
        <v>3</v>
      </c>
    </row>
    <row r="674" spans="1:15" x14ac:dyDescent="0.2">
      <c r="A674" s="2">
        <v>44700</v>
      </c>
      <c r="B674" s="3">
        <v>23574</v>
      </c>
      <c r="C674" s="3">
        <v>23435</v>
      </c>
      <c r="D674" s="3">
        <v>23565</v>
      </c>
      <c r="E674" s="3">
        <v>23280</v>
      </c>
      <c r="F674" s="3">
        <v>40</v>
      </c>
      <c r="G674" s="7">
        <f t="shared" si="98"/>
        <v>1</v>
      </c>
      <c r="H674" s="5">
        <f t="shared" si="93"/>
        <v>4.2421414329953762E-5</v>
      </c>
      <c r="I674" s="4">
        <f t="shared" si="94"/>
        <v>-1.6162888329135181E-2</v>
      </c>
      <c r="J674" s="4">
        <f t="shared" si="95"/>
        <v>-1.1120436424674779E-2</v>
      </c>
      <c r="K674" s="4">
        <f t="shared" si="96"/>
        <v>-2.9978586723768737E-3</v>
      </c>
      <c r="L674" s="4">
        <f t="shared" si="97"/>
        <v>0.33333333333333331</v>
      </c>
      <c r="M674" s="3">
        <f t="shared" si="90"/>
        <v>5</v>
      </c>
      <c r="N674" s="3">
        <f t="shared" si="91"/>
        <v>19</v>
      </c>
      <c r="O674" s="3">
        <f t="shared" si="92"/>
        <v>4</v>
      </c>
    </row>
    <row r="675" spans="1:15" x14ac:dyDescent="0.2">
      <c r="A675" s="2">
        <v>44701</v>
      </c>
      <c r="B675" s="3">
        <v>23620</v>
      </c>
      <c r="C675" s="3">
        <v>23700</v>
      </c>
      <c r="D675" s="3">
        <v>24005</v>
      </c>
      <c r="E675" s="3">
        <v>23410</v>
      </c>
      <c r="F675" s="3">
        <v>30</v>
      </c>
      <c r="G675" s="7">
        <f t="shared" si="98"/>
        <v>1</v>
      </c>
      <c r="H675" s="5">
        <f t="shared" si="93"/>
        <v>1.9513022821752777E-3</v>
      </c>
      <c r="I675" s="4">
        <f t="shared" si="94"/>
        <v>1.1307872839769575E-2</v>
      </c>
      <c r="J675" s="4">
        <f t="shared" si="95"/>
        <v>1.8671758964566094E-2</v>
      </c>
      <c r="K675" s="4">
        <f t="shared" si="96"/>
        <v>5.5841924398625431E-3</v>
      </c>
      <c r="L675" s="4">
        <f t="shared" si="97"/>
        <v>-0.25</v>
      </c>
      <c r="M675" s="3">
        <f t="shared" si="90"/>
        <v>5</v>
      </c>
      <c r="N675" s="3">
        <f t="shared" si="91"/>
        <v>20</v>
      </c>
      <c r="O675" s="3">
        <f t="shared" si="92"/>
        <v>5</v>
      </c>
    </row>
    <row r="676" spans="1:15" x14ac:dyDescent="0.2">
      <c r="A676" s="2">
        <v>44704</v>
      </c>
      <c r="B676" s="3">
        <v>23927</v>
      </c>
      <c r="C676" s="3">
        <v>23790</v>
      </c>
      <c r="D676" s="3">
        <v>23955</v>
      </c>
      <c r="E676" s="3">
        <v>23640</v>
      </c>
      <c r="F676" s="3">
        <v>60</v>
      </c>
      <c r="G676" s="7">
        <f t="shared" si="98"/>
        <v>1</v>
      </c>
      <c r="H676" s="5">
        <f t="shared" si="93"/>
        <v>1.2997459779847587E-2</v>
      </c>
      <c r="I676" s="4">
        <f t="shared" si="94"/>
        <v>3.7974683544303796E-3</v>
      </c>
      <c r="J676" s="4">
        <f t="shared" si="95"/>
        <v>-2.0828993959591752E-3</v>
      </c>
      <c r="K676" s="4">
        <f t="shared" si="96"/>
        <v>9.8248611704399823E-3</v>
      </c>
      <c r="L676" s="4">
        <f t="shared" si="97"/>
        <v>1</v>
      </c>
      <c r="M676" s="3">
        <f t="shared" si="90"/>
        <v>5</v>
      </c>
      <c r="N676" s="3">
        <f t="shared" si="91"/>
        <v>23</v>
      </c>
      <c r="O676" s="3">
        <f t="shared" si="92"/>
        <v>1</v>
      </c>
    </row>
    <row r="677" spans="1:15" x14ac:dyDescent="0.2">
      <c r="A677" s="2">
        <v>44705</v>
      </c>
      <c r="B677" s="3">
        <v>23696</v>
      </c>
      <c r="C677" s="3">
        <v>23700</v>
      </c>
      <c r="D677" s="3">
        <v>23900</v>
      </c>
      <c r="E677" s="3">
        <v>23635</v>
      </c>
      <c r="F677" s="3">
        <v>30</v>
      </c>
      <c r="G677" s="7">
        <f t="shared" si="98"/>
        <v>0</v>
      </c>
      <c r="H677" s="5">
        <f t="shared" si="93"/>
        <v>-9.6543653613073103E-3</v>
      </c>
      <c r="I677" s="4">
        <f t="shared" si="94"/>
        <v>-3.7831021437578815E-3</v>
      </c>
      <c r="J677" s="4">
        <f t="shared" si="95"/>
        <v>-2.2959716134418702E-3</v>
      </c>
      <c r="K677" s="4">
        <f t="shared" si="96"/>
        <v>-2.1150592216582064E-4</v>
      </c>
      <c r="L677" s="4">
        <f t="shared" si="97"/>
        <v>-0.5</v>
      </c>
      <c r="M677" s="3">
        <f t="shared" si="90"/>
        <v>5</v>
      </c>
      <c r="N677" s="3">
        <f t="shared" si="91"/>
        <v>24</v>
      </c>
      <c r="O677" s="3">
        <f t="shared" si="92"/>
        <v>2</v>
      </c>
    </row>
    <row r="678" spans="1:15" x14ac:dyDescent="0.2">
      <c r="A678" s="2">
        <v>44706</v>
      </c>
      <c r="B678" s="3">
        <v>24062</v>
      </c>
      <c r="C678" s="3">
        <v>23845</v>
      </c>
      <c r="D678" s="3">
        <v>24140</v>
      </c>
      <c r="E678" s="3">
        <v>23715</v>
      </c>
      <c r="F678" s="3">
        <v>20</v>
      </c>
      <c r="G678" s="7">
        <f t="shared" si="98"/>
        <v>1</v>
      </c>
      <c r="H678" s="5">
        <f t="shared" si="93"/>
        <v>1.5445644834571236E-2</v>
      </c>
      <c r="I678" s="4">
        <f t="shared" si="94"/>
        <v>6.118143459915612E-3</v>
      </c>
      <c r="J678" s="4">
        <f t="shared" si="95"/>
        <v>1.00418410041841E-2</v>
      </c>
      <c r="K678" s="4">
        <f t="shared" si="96"/>
        <v>3.3848106621535857E-3</v>
      </c>
      <c r="L678" s="4">
        <f t="shared" si="97"/>
        <v>-0.33333333333333331</v>
      </c>
      <c r="M678" s="3">
        <f t="shared" si="90"/>
        <v>5</v>
      </c>
      <c r="N678" s="3">
        <f t="shared" si="91"/>
        <v>25</v>
      </c>
      <c r="O678" s="3">
        <f t="shared" si="92"/>
        <v>3</v>
      </c>
    </row>
    <row r="679" spans="1:15" x14ac:dyDescent="0.2">
      <c r="A679" s="2">
        <v>44707</v>
      </c>
      <c r="B679" s="3">
        <v>24347</v>
      </c>
      <c r="C679" s="3">
        <v>24105</v>
      </c>
      <c r="D679" s="3">
        <v>24445</v>
      </c>
      <c r="E679" s="3">
        <v>24045</v>
      </c>
      <c r="F679" s="3">
        <v>30</v>
      </c>
      <c r="G679" s="7">
        <f t="shared" si="98"/>
        <v>1</v>
      </c>
      <c r="H679" s="5">
        <f t="shared" si="93"/>
        <v>1.1844401961599202E-2</v>
      </c>
      <c r="I679" s="4">
        <f t="shared" si="94"/>
        <v>1.090375340742294E-2</v>
      </c>
      <c r="J679" s="4">
        <f t="shared" si="95"/>
        <v>1.2634631317315658E-2</v>
      </c>
      <c r="K679" s="4">
        <f t="shared" si="96"/>
        <v>1.3915243516761544E-2</v>
      </c>
      <c r="L679" s="4">
        <f t="shared" si="97"/>
        <v>0.5</v>
      </c>
      <c r="M679" s="3">
        <f t="shared" si="90"/>
        <v>5</v>
      </c>
      <c r="N679" s="3">
        <f t="shared" si="91"/>
        <v>26</v>
      </c>
      <c r="O679" s="3">
        <f t="shared" si="92"/>
        <v>4</v>
      </c>
    </row>
    <row r="680" spans="1:15" x14ac:dyDescent="0.2">
      <c r="A680" s="2">
        <v>44708</v>
      </c>
      <c r="B680" s="3">
        <v>24456</v>
      </c>
      <c r="C680" s="3">
        <v>24420</v>
      </c>
      <c r="D680" s="3">
        <v>24470</v>
      </c>
      <c r="E680" s="3">
        <v>24300</v>
      </c>
      <c r="F680" s="3">
        <v>40</v>
      </c>
      <c r="G680" s="7">
        <f t="shared" si="98"/>
        <v>1</v>
      </c>
      <c r="H680" s="5">
        <f t="shared" si="93"/>
        <v>4.4769376103832095E-3</v>
      </c>
      <c r="I680" s="4">
        <f t="shared" si="94"/>
        <v>1.3067828251400125E-2</v>
      </c>
      <c r="J680" s="4">
        <f t="shared" si="95"/>
        <v>1.0227040294538761E-3</v>
      </c>
      <c r="K680" s="4">
        <f t="shared" si="96"/>
        <v>1.0605115408608859E-2</v>
      </c>
      <c r="L680" s="4">
        <f t="shared" si="97"/>
        <v>0.33333333333333331</v>
      </c>
      <c r="M680" s="3">
        <f t="shared" si="90"/>
        <v>5</v>
      </c>
      <c r="N680" s="3">
        <f t="shared" si="91"/>
        <v>27</v>
      </c>
      <c r="O680" s="3">
        <f t="shared" si="92"/>
        <v>5</v>
      </c>
    </row>
    <row r="681" spans="1:15" x14ac:dyDescent="0.2">
      <c r="A681" s="2">
        <v>44711</v>
      </c>
      <c r="B681" s="3">
        <v>24595</v>
      </c>
      <c r="C681" s="3">
        <v>24600</v>
      </c>
      <c r="D681" s="3">
        <v>24630</v>
      </c>
      <c r="E681" s="3">
        <v>24485</v>
      </c>
      <c r="F681" s="3">
        <v>100</v>
      </c>
      <c r="G681" s="7">
        <f t="shared" si="98"/>
        <v>1</v>
      </c>
      <c r="H681" s="5">
        <f t="shared" si="93"/>
        <v>5.6836768073274448E-3</v>
      </c>
      <c r="I681" s="4">
        <f t="shared" si="94"/>
        <v>7.3710073710073713E-3</v>
      </c>
      <c r="J681" s="4">
        <f t="shared" si="95"/>
        <v>6.5386187167960769E-3</v>
      </c>
      <c r="K681" s="4">
        <f t="shared" si="96"/>
        <v>7.6131687242798358E-3</v>
      </c>
      <c r="L681" s="4">
        <f t="shared" si="97"/>
        <v>1.5</v>
      </c>
      <c r="M681" s="3">
        <f t="shared" si="90"/>
        <v>5</v>
      </c>
      <c r="N681" s="3">
        <f t="shared" si="91"/>
        <v>30</v>
      </c>
      <c r="O681" s="3">
        <f t="shared" si="92"/>
        <v>1</v>
      </c>
    </row>
    <row r="682" spans="1:15" x14ac:dyDescent="0.2">
      <c r="A682" s="2">
        <v>44712</v>
      </c>
      <c r="B682" s="3">
        <v>24323</v>
      </c>
      <c r="C682" s="3">
        <v>24505</v>
      </c>
      <c r="D682" s="3">
        <v>24575</v>
      </c>
      <c r="E682" s="3">
        <v>24290</v>
      </c>
      <c r="F682" s="3">
        <v>130</v>
      </c>
      <c r="G682" s="7">
        <f t="shared" si="98"/>
        <v>0</v>
      </c>
      <c r="H682" s="5">
        <f t="shared" si="93"/>
        <v>-1.1059158365521448E-2</v>
      </c>
      <c r="I682" s="4">
        <f t="shared" si="94"/>
        <v>-3.861788617886179E-3</v>
      </c>
      <c r="J682" s="4">
        <f t="shared" si="95"/>
        <v>-2.2330491270807959E-3</v>
      </c>
      <c r="K682" s="4">
        <f t="shared" si="96"/>
        <v>-7.9640596283438846E-3</v>
      </c>
      <c r="L682" s="4">
        <f t="shared" si="97"/>
        <v>0.3</v>
      </c>
      <c r="M682" s="3">
        <f t="shared" si="90"/>
        <v>5</v>
      </c>
      <c r="N682" s="3">
        <f t="shared" si="91"/>
        <v>31</v>
      </c>
      <c r="O682" s="3">
        <f t="shared" si="92"/>
        <v>2</v>
      </c>
    </row>
    <row r="683" spans="1:15" x14ac:dyDescent="0.2">
      <c r="A683" s="2">
        <v>44713</v>
      </c>
      <c r="B683" s="3">
        <v>24069</v>
      </c>
      <c r="C683" s="3">
        <v>24400</v>
      </c>
      <c r="D683" s="3">
        <v>24400</v>
      </c>
      <c r="E683" s="3">
        <v>24055</v>
      </c>
      <c r="F683" s="3">
        <v>40</v>
      </c>
      <c r="G683" s="7">
        <f t="shared" si="98"/>
        <v>0</v>
      </c>
      <c r="H683" s="5">
        <f t="shared" si="93"/>
        <v>-1.0442790774164372E-2</v>
      </c>
      <c r="I683" s="4">
        <f t="shared" si="94"/>
        <v>-4.2848398286064069E-3</v>
      </c>
      <c r="J683" s="4">
        <f t="shared" si="95"/>
        <v>-7.1210579857578843E-3</v>
      </c>
      <c r="K683" s="4">
        <f t="shared" si="96"/>
        <v>-9.6747632770687528E-3</v>
      </c>
      <c r="L683" s="4">
        <f t="shared" si="97"/>
        <v>-0.69230769230769229</v>
      </c>
      <c r="M683" s="3">
        <f t="shared" si="90"/>
        <v>6</v>
      </c>
      <c r="N683" s="3">
        <f t="shared" si="91"/>
        <v>1</v>
      </c>
      <c r="O683" s="3">
        <f t="shared" si="92"/>
        <v>3</v>
      </c>
    </row>
    <row r="684" spans="1:15" x14ac:dyDescent="0.2">
      <c r="A684" s="2">
        <v>44714</v>
      </c>
      <c r="B684" s="3">
        <v>24235</v>
      </c>
      <c r="C684" s="3">
        <v>24095</v>
      </c>
      <c r="D684" s="3">
        <v>24375</v>
      </c>
      <c r="E684" s="3">
        <v>24095</v>
      </c>
      <c r="F684" s="3">
        <v>30</v>
      </c>
      <c r="G684" s="7">
        <f t="shared" si="98"/>
        <v>1</v>
      </c>
      <c r="H684" s="5">
        <f t="shared" si="93"/>
        <v>6.8968382566787154E-3</v>
      </c>
      <c r="I684" s="4">
        <f t="shared" si="94"/>
        <v>-1.2500000000000001E-2</v>
      </c>
      <c r="J684" s="4">
        <f t="shared" si="95"/>
        <v>-1.0245901639344263E-3</v>
      </c>
      <c r="K684" s="4">
        <f t="shared" si="96"/>
        <v>1.6628559551028891E-3</v>
      </c>
      <c r="L684" s="4">
        <f t="shared" si="97"/>
        <v>-0.25</v>
      </c>
      <c r="M684" s="3">
        <f t="shared" si="90"/>
        <v>6</v>
      </c>
      <c r="N684" s="3">
        <f t="shared" si="91"/>
        <v>2</v>
      </c>
      <c r="O684" s="3">
        <f t="shared" si="92"/>
        <v>4</v>
      </c>
    </row>
    <row r="685" spans="1:15" x14ac:dyDescent="0.2">
      <c r="A685" s="2">
        <v>44715</v>
      </c>
      <c r="B685" s="3">
        <v>23984</v>
      </c>
      <c r="C685" s="3">
        <v>24215</v>
      </c>
      <c r="D685" s="3">
        <v>24400</v>
      </c>
      <c r="E685" s="3">
        <v>23950</v>
      </c>
      <c r="F685" s="3">
        <v>40</v>
      </c>
      <c r="G685" s="7">
        <f t="shared" si="98"/>
        <v>0</v>
      </c>
      <c r="H685" s="5">
        <f t="shared" si="93"/>
        <v>-1.0356921807303486E-2</v>
      </c>
      <c r="I685" s="4">
        <f t="shared" si="94"/>
        <v>4.9802863664660715E-3</v>
      </c>
      <c r="J685" s="4">
        <f t="shared" si="95"/>
        <v>1.0256410256410256E-3</v>
      </c>
      <c r="K685" s="4">
        <f t="shared" si="96"/>
        <v>-6.0178460261465037E-3</v>
      </c>
      <c r="L685" s="4">
        <f t="shared" si="97"/>
        <v>0.33333333333333331</v>
      </c>
      <c r="M685" s="3">
        <f t="shared" si="90"/>
        <v>6</v>
      </c>
      <c r="N685" s="3">
        <f t="shared" si="91"/>
        <v>3</v>
      </c>
      <c r="O685" s="3">
        <f t="shared" si="92"/>
        <v>5</v>
      </c>
    </row>
    <row r="686" spans="1:15" x14ac:dyDescent="0.2">
      <c r="A686" s="2">
        <v>44718</v>
      </c>
      <c r="B686" s="3">
        <v>24365</v>
      </c>
      <c r="C686" s="3">
        <v>24110</v>
      </c>
      <c r="D686" s="3">
        <v>24440</v>
      </c>
      <c r="E686" s="3">
        <v>24110</v>
      </c>
      <c r="F686" s="3">
        <v>110</v>
      </c>
      <c r="G686" s="7">
        <f t="shared" si="98"/>
        <v>1</v>
      </c>
      <c r="H686" s="5">
        <f t="shared" si="93"/>
        <v>1.588559039359573E-2</v>
      </c>
      <c r="I686" s="4">
        <f t="shared" si="94"/>
        <v>-4.3361552756555856E-3</v>
      </c>
      <c r="J686" s="4">
        <f t="shared" si="95"/>
        <v>1.639344262295082E-3</v>
      </c>
      <c r="K686" s="4">
        <f t="shared" si="96"/>
        <v>6.6805845511482258E-3</v>
      </c>
      <c r="L686" s="4">
        <f t="shared" si="97"/>
        <v>1.75</v>
      </c>
      <c r="M686" s="3">
        <f t="shared" si="90"/>
        <v>6</v>
      </c>
      <c r="N686" s="3">
        <f t="shared" si="91"/>
        <v>6</v>
      </c>
      <c r="O686" s="3">
        <f t="shared" si="92"/>
        <v>1</v>
      </c>
    </row>
    <row r="687" spans="1:15" x14ac:dyDescent="0.2">
      <c r="A687" s="2">
        <v>44719</v>
      </c>
      <c r="B687" s="3">
        <v>24170</v>
      </c>
      <c r="C687" s="3">
        <v>24270</v>
      </c>
      <c r="D687" s="3">
        <v>24280</v>
      </c>
      <c r="E687" s="3">
        <v>24025</v>
      </c>
      <c r="F687" s="3">
        <v>110</v>
      </c>
      <c r="G687" s="7">
        <f t="shared" si="98"/>
        <v>0</v>
      </c>
      <c r="H687" s="5">
        <f t="shared" si="93"/>
        <v>-8.0032833983172576E-3</v>
      </c>
      <c r="I687" s="4">
        <f t="shared" si="94"/>
        <v>6.6362505184570713E-3</v>
      </c>
      <c r="J687" s="4">
        <f t="shared" si="95"/>
        <v>-6.5466448445171853E-3</v>
      </c>
      <c r="K687" s="4">
        <f t="shared" si="96"/>
        <v>-3.5255080879303194E-3</v>
      </c>
      <c r="L687" s="4">
        <f t="shared" si="97"/>
        <v>0</v>
      </c>
      <c r="M687" s="3">
        <f t="shared" si="90"/>
        <v>6</v>
      </c>
      <c r="N687" s="3">
        <f t="shared" si="91"/>
        <v>7</v>
      </c>
      <c r="O687" s="3">
        <f t="shared" si="92"/>
        <v>2</v>
      </c>
    </row>
    <row r="688" spans="1:15" x14ac:dyDescent="0.2">
      <c r="A688" s="2">
        <v>44720</v>
      </c>
      <c r="B688" s="3">
        <v>24052</v>
      </c>
      <c r="C688" s="3">
        <v>24255</v>
      </c>
      <c r="D688" s="3">
        <v>24260</v>
      </c>
      <c r="E688" s="3">
        <v>23900</v>
      </c>
      <c r="F688" s="3">
        <v>120</v>
      </c>
      <c r="G688" s="7">
        <f t="shared" si="98"/>
        <v>0</v>
      </c>
      <c r="H688" s="5">
        <f t="shared" si="93"/>
        <v>-4.8820852296235003E-3</v>
      </c>
      <c r="I688" s="4">
        <f t="shared" si="94"/>
        <v>-6.1804697156983925E-4</v>
      </c>
      <c r="J688" s="4">
        <f t="shared" si="95"/>
        <v>-8.2372322899505767E-4</v>
      </c>
      <c r="K688" s="4">
        <f t="shared" si="96"/>
        <v>-5.2029136316337149E-3</v>
      </c>
      <c r="L688" s="4">
        <f t="shared" si="97"/>
        <v>9.0909090909090912E-2</v>
      </c>
      <c r="M688" s="3">
        <f t="shared" si="90"/>
        <v>6</v>
      </c>
      <c r="N688" s="3">
        <f t="shared" si="91"/>
        <v>8</v>
      </c>
      <c r="O688" s="3">
        <f t="shared" si="92"/>
        <v>3</v>
      </c>
    </row>
    <row r="689" spans="1:15" x14ac:dyDescent="0.2">
      <c r="A689" s="2">
        <v>44721</v>
      </c>
      <c r="B689" s="3">
        <v>23591</v>
      </c>
      <c r="C689" s="3">
        <v>23930</v>
      </c>
      <c r="D689" s="3">
        <v>23955</v>
      </c>
      <c r="E689" s="3">
        <v>23380</v>
      </c>
      <c r="F689" s="3">
        <v>2460</v>
      </c>
      <c r="G689" s="7">
        <f t="shared" si="98"/>
        <v>0</v>
      </c>
      <c r="H689" s="5">
        <f t="shared" si="93"/>
        <v>-1.9166805255280226E-2</v>
      </c>
      <c r="I689" s="4">
        <f t="shared" si="94"/>
        <v>-1.3399299113584827E-2</v>
      </c>
      <c r="J689" s="4">
        <f t="shared" si="95"/>
        <v>-1.2572135201978566E-2</v>
      </c>
      <c r="K689" s="4">
        <f t="shared" si="96"/>
        <v>-2.1757322175732216E-2</v>
      </c>
      <c r="L689" s="4">
        <f t="shared" si="97"/>
        <v>19.5</v>
      </c>
      <c r="M689" s="3">
        <f t="shared" si="90"/>
        <v>6</v>
      </c>
      <c r="N689" s="3">
        <f t="shared" si="91"/>
        <v>9</v>
      </c>
      <c r="O689" s="3">
        <f t="shared" si="92"/>
        <v>4</v>
      </c>
    </row>
    <row r="690" spans="1:15" x14ac:dyDescent="0.2">
      <c r="A690" s="2">
        <v>44722</v>
      </c>
      <c r="B690" s="3">
        <v>22383</v>
      </c>
      <c r="C690" s="3">
        <v>23455</v>
      </c>
      <c r="D690" s="3">
        <v>23495</v>
      </c>
      <c r="E690" s="3">
        <v>22150</v>
      </c>
      <c r="F690" s="3">
        <v>3770</v>
      </c>
      <c r="G690" s="7">
        <f t="shared" si="98"/>
        <v>0</v>
      </c>
      <c r="H690" s="5">
        <f t="shared" si="93"/>
        <v>-5.1205968377771187E-2</v>
      </c>
      <c r="I690" s="4">
        <f t="shared" si="94"/>
        <v>-1.9849561220225659E-2</v>
      </c>
      <c r="J690" s="4">
        <f t="shared" si="95"/>
        <v>-1.9202671676059279E-2</v>
      </c>
      <c r="K690" s="4">
        <f t="shared" si="96"/>
        <v>-5.2609067579127457E-2</v>
      </c>
      <c r="L690" s="4">
        <f t="shared" si="97"/>
        <v>0.53252032520325199</v>
      </c>
      <c r="M690" s="3">
        <f t="shared" si="90"/>
        <v>6</v>
      </c>
      <c r="N690" s="3">
        <f t="shared" si="91"/>
        <v>10</v>
      </c>
      <c r="O690" s="3">
        <f t="shared" si="92"/>
        <v>5</v>
      </c>
    </row>
    <row r="691" spans="1:15" x14ac:dyDescent="0.2">
      <c r="A691" s="2">
        <v>44725</v>
      </c>
      <c r="B691" s="3">
        <v>21735</v>
      </c>
      <c r="C691" s="3">
        <v>22050</v>
      </c>
      <c r="D691" s="3">
        <v>22065</v>
      </c>
      <c r="E691" s="3">
        <v>21620</v>
      </c>
      <c r="F691" s="3">
        <v>16830</v>
      </c>
      <c r="G691" s="7">
        <f t="shared" si="98"/>
        <v>0</v>
      </c>
      <c r="H691" s="5">
        <f t="shared" si="93"/>
        <v>-2.8950542822677925E-2</v>
      </c>
      <c r="I691" s="4">
        <f t="shared" si="94"/>
        <v>-5.9901939884885951E-2</v>
      </c>
      <c r="J691" s="4">
        <f t="shared" si="95"/>
        <v>-6.0864013619919131E-2</v>
      </c>
      <c r="K691" s="4">
        <f t="shared" si="96"/>
        <v>-2.3927765237020317E-2</v>
      </c>
      <c r="L691" s="4">
        <f t="shared" si="97"/>
        <v>3.4641909814323606</v>
      </c>
      <c r="M691" s="3">
        <f t="shared" si="90"/>
        <v>6</v>
      </c>
      <c r="N691" s="3">
        <f t="shared" si="91"/>
        <v>13</v>
      </c>
      <c r="O691" s="3">
        <f t="shared" si="92"/>
        <v>1</v>
      </c>
    </row>
    <row r="692" spans="1:15" x14ac:dyDescent="0.2">
      <c r="A692" s="2">
        <v>44726</v>
      </c>
      <c r="B692" s="3">
        <v>21689</v>
      </c>
      <c r="C692" s="3">
        <v>21900</v>
      </c>
      <c r="D692" s="3">
        <v>21990</v>
      </c>
      <c r="E692" s="3">
        <v>21435</v>
      </c>
      <c r="F692" s="3">
        <v>31100</v>
      </c>
      <c r="G692" s="7">
        <f t="shared" si="98"/>
        <v>0</v>
      </c>
      <c r="H692" s="5">
        <f t="shared" si="93"/>
        <v>-2.1164021164021165E-3</v>
      </c>
      <c r="I692" s="4">
        <f t="shared" si="94"/>
        <v>-6.8027210884353739E-3</v>
      </c>
      <c r="J692" s="4">
        <f t="shared" si="95"/>
        <v>-3.3990482664853841E-3</v>
      </c>
      <c r="K692" s="4">
        <f t="shared" si="96"/>
        <v>-8.5568917668825163E-3</v>
      </c>
      <c r="L692" s="4">
        <f t="shared" si="97"/>
        <v>0.84789067142008323</v>
      </c>
      <c r="M692" s="3">
        <f t="shared" si="90"/>
        <v>6</v>
      </c>
      <c r="N692" s="3">
        <f t="shared" si="91"/>
        <v>14</v>
      </c>
      <c r="O692" s="3">
        <f t="shared" si="92"/>
        <v>2</v>
      </c>
    </row>
    <row r="693" spans="1:15" x14ac:dyDescent="0.2">
      <c r="A693" s="2">
        <v>44727</v>
      </c>
      <c r="B693" s="3">
        <v>22283</v>
      </c>
      <c r="C693" s="3">
        <v>21995</v>
      </c>
      <c r="D693" s="3">
        <v>22515</v>
      </c>
      <c r="E693" s="3">
        <v>21805</v>
      </c>
      <c r="F693" s="3">
        <v>23180</v>
      </c>
      <c r="G693" s="7">
        <f t="shared" si="98"/>
        <v>1</v>
      </c>
      <c r="H693" s="5">
        <f t="shared" si="93"/>
        <v>2.7387154778920189E-2</v>
      </c>
      <c r="I693" s="4">
        <f t="shared" si="94"/>
        <v>4.3378995433789955E-3</v>
      </c>
      <c r="J693" s="4">
        <f t="shared" si="95"/>
        <v>2.3874488403819918E-2</v>
      </c>
      <c r="K693" s="4">
        <f t="shared" si="96"/>
        <v>1.7261488220200606E-2</v>
      </c>
      <c r="L693" s="4">
        <f t="shared" si="97"/>
        <v>-0.25466237942122188</v>
      </c>
      <c r="M693" s="3">
        <f t="shared" si="90"/>
        <v>6</v>
      </c>
      <c r="N693" s="3">
        <f t="shared" si="91"/>
        <v>15</v>
      </c>
      <c r="O693" s="3">
        <f t="shared" si="92"/>
        <v>3</v>
      </c>
    </row>
    <row r="694" spans="1:15" x14ac:dyDescent="0.2">
      <c r="A694" s="2">
        <v>44728</v>
      </c>
      <c r="B694" s="3">
        <v>21562</v>
      </c>
      <c r="C694" s="3">
        <v>22325</v>
      </c>
      <c r="D694" s="3">
        <v>22400</v>
      </c>
      <c r="E694" s="3">
        <v>21435</v>
      </c>
      <c r="F694" s="3">
        <v>21860</v>
      </c>
      <c r="G694" s="7">
        <f t="shared" si="98"/>
        <v>0</v>
      </c>
      <c r="H694" s="5">
        <f t="shared" si="93"/>
        <v>-3.2356504958937306E-2</v>
      </c>
      <c r="I694" s="4">
        <f t="shared" si="94"/>
        <v>1.5003409865878609E-2</v>
      </c>
      <c r="J694" s="4">
        <f t="shared" si="95"/>
        <v>-5.1077059737952473E-3</v>
      </c>
      <c r="K694" s="4">
        <f t="shared" si="96"/>
        <v>-1.6968585186883742E-2</v>
      </c>
      <c r="L694" s="4">
        <f t="shared" si="97"/>
        <v>-5.6945642795513375E-2</v>
      </c>
      <c r="M694" s="3">
        <f t="shared" si="90"/>
        <v>6</v>
      </c>
      <c r="N694" s="3">
        <f t="shared" si="91"/>
        <v>16</v>
      </c>
      <c r="O694" s="3">
        <f t="shared" si="92"/>
        <v>4</v>
      </c>
    </row>
    <row r="695" spans="1:15" x14ac:dyDescent="0.2">
      <c r="A695" s="2">
        <v>44729</v>
      </c>
      <c r="B695" s="3">
        <v>21630</v>
      </c>
      <c r="C695" s="3">
        <v>21745</v>
      </c>
      <c r="D695" s="3">
        <v>22050</v>
      </c>
      <c r="E695" s="3">
        <v>21495</v>
      </c>
      <c r="F695" s="3">
        <v>26900</v>
      </c>
      <c r="G695" s="7">
        <f t="shared" si="98"/>
        <v>1</v>
      </c>
      <c r="H695" s="5">
        <f t="shared" si="93"/>
        <v>3.1536963175957705E-3</v>
      </c>
      <c r="I695" s="4">
        <f t="shared" si="94"/>
        <v>-2.5979843225083985E-2</v>
      </c>
      <c r="J695" s="4">
        <f t="shared" si="95"/>
        <v>-1.5625E-2</v>
      </c>
      <c r="K695" s="4">
        <f t="shared" si="96"/>
        <v>2.7991602519244225E-3</v>
      </c>
      <c r="L695" s="4">
        <f t="shared" si="97"/>
        <v>0.23055809698078683</v>
      </c>
      <c r="M695" s="3">
        <f t="shared" si="90"/>
        <v>6</v>
      </c>
      <c r="N695" s="3">
        <f t="shared" si="91"/>
        <v>17</v>
      </c>
      <c r="O695" s="3">
        <f t="shared" si="92"/>
        <v>5</v>
      </c>
    </row>
    <row r="696" spans="1:15" x14ac:dyDescent="0.2">
      <c r="A696" s="2">
        <v>44732</v>
      </c>
      <c r="B696" s="3">
        <v>21705</v>
      </c>
      <c r="C696" s="3">
        <v>21525</v>
      </c>
      <c r="D696" s="3">
        <v>21705</v>
      </c>
      <c r="E696" s="3">
        <v>21525</v>
      </c>
      <c r="F696" s="3">
        <v>560</v>
      </c>
      <c r="G696" s="7">
        <f t="shared" si="98"/>
        <v>1</v>
      </c>
      <c r="H696" s="5">
        <f t="shared" si="93"/>
        <v>3.4674063800277394E-3</v>
      </c>
      <c r="I696" s="4">
        <f t="shared" si="94"/>
        <v>-1.0117268337548863E-2</v>
      </c>
      <c r="J696" s="4">
        <f t="shared" si="95"/>
        <v>-1.5646258503401362E-2</v>
      </c>
      <c r="K696" s="4">
        <f t="shared" si="96"/>
        <v>1.3956734124214933E-3</v>
      </c>
      <c r="L696" s="4">
        <f t="shared" si="97"/>
        <v>-0.97918215613382897</v>
      </c>
      <c r="M696" s="3">
        <f t="shared" si="90"/>
        <v>6</v>
      </c>
      <c r="N696" s="3">
        <f t="shared" si="91"/>
        <v>20</v>
      </c>
      <c r="O696" s="3">
        <f t="shared" si="92"/>
        <v>1</v>
      </c>
    </row>
    <row r="697" spans="1:15" x14ac:dyDescent="0.2">
      <c r="A697" s="2">
        <v>44733</v>
      </c>
      <c r="B697" s="3">
        <v>21797</v>
      </c>
      <c r="C697" s="3">
        <v>21765</v>
      </c>
      <c r="D697" s="3">
        <v>21925</v>
      </c>
      <c r="E697" s="3">
        <v>21765</v>
      </c>
      <c r="F697" s="3">
        <v>20</v>
      </c>
      <c r="G697" s="7">
        <f t="shared" si="98"/>
        <v>1</v>
      </c>
      <c r="H697" s="5">
        <f t="shared" si="93"/>
        <v>4.2386546878599397E-3</v>
      </c>
      <c r="I697" s="4">
        <f t="shared" si="94"/>
        <v>1.1149825783972125E-2</v>
      </c>
      <c r="J697" s="4">
        <f t="shared" si="95"/>
        <v>1.0135913384012899E-2</v>
      </c>
      <c r="K697" s="4">
        <f t="shared" si="96"/>
        <v>1.1149825783972125E-2</v>
      </c>
      <c r="L697" s="4">
        <f t="shared" si="97"/>
        <v>-0.9642857142857143</v>
      </c>
      <c r="M697" s="3">
        <f t="shared" si="90"/>
        <v>6</v>
      </c>
      <c r="N697" s="3">
        <f t="shared" si="91"/>
        <v>21</v>
      </c>
      <c r="O697" s="3">
        <f t="shared" si="92"/>
        <v>2</v>
      </c>
    </row>
    <row r="698" spans="1:15" x14ac:dyDescent="0.2">
      <c r="A698" s="2">
        <v>44734</v>
      </c>
      <c r="B698" s="3">
        <v>21521</v>
      </c>
      <c r="C698" s="3">
        <v>21215</v>
      </c>
      <c r="D698" s="3">
        <v>21565</v>
      </c>
      <c r="E698" s="3">
        <v>21215</v>
      </c>
      <c r="F698" s="3">
        <v>10</v>
      </c>
      <c r="G698" s="7">
        <f t="shared" si="98"/>
        <v>0</v>
      </c>
      <c r="H698" s="5">
        <f t="shared" si="93"/>
        <v>-1.2662292976097628E-2</v>
      </c>
      <c r="I698" s="4">
        <f t="shared" si="94"/>
        <v>-2.5269928784746151E-2</v>
      </c>
      <c r="J698" s="4">
        <f t="shared" si="95"/>
        <v>-1.6419612314709234E-2</v>
      </c>
      <c r="K698" s="4">
        <f t="shared" si="96"/>
        <v>-2.5269928784746151E-2</v>
      </c>
      <c r="L698" s="4">
        <f t="shared" si="97"/>
        <v>-0.5</v>
      </c>
      <c r="M698" s="3">
        <f t="shared" si="90"/>
        <v>6</v>
      </c>
      <c r="N698" s="3">
        <f t="shared" si="91"/>
        <v>22</v>
      </c>
      <c r="O698" s="3">
        <f t="shared" si="92"/>
        <v>3</v>
      </c>
    </row>
    <row r="699" spans="1:15" x14ac:dyDescent="0.2">
      <c r="A699" s="2">
        <v>44735</v>
      </c>
      <c r="B699" s="3">
        <v>21350</v>
      </c>
      <c r="C699" s="3">
        <v>21350</v>
      </c>
      <c r="D699" s="3">
        <v>21615</v>
      </c>
      <c r="E699" s="3">
        <v>21200</v>
      </c>
      <c r="F699" s="3">
        <v>10</v>
      </c>
      <c r="G699" s="7">
        <f t="shared" si="98"/>
        <v>0</v>
      </c>
      <c r="H699" s="5">
        <f t="shared" si="93"/>
        <v>-7.9457274290228152E-3</v>
      </c>
      <c r="I699" s="4">
        <f t="shared" si="94"/>
        <v>6.3634221069997646E-3</v>
      </c>
      <c r="J699" s="4">
        <f t="shared" si="95"/>
        <v>2.3185717597959659E-3</v>
      </c>
      <c r="K699" s="4">
        <f t="shared" si="96"/>
        <v>-7.0704690077775156E-4</v>
      </c>
      <c r="L699" s="4">
        <f t="shared" si="97"/>
        <v>0</v>
      </c>
      <c r="M699" s="3">
        <f t="shared" si="90"/>
        <v>6</v>
      </c>
      <c r="N699" s="3">
        <f t="shared" si="91"/>
        <v>23</v>
      </c>
      <c r="O699" s="3">
        <f t="shared" si="92"/>
        <v>4</v>
      </c>
    </row>
    <row r="700" spans="1:15" x14ac:dyDescent="0.2">
      <c r="A700" s="2">
        <v>44736</v>
      </c>
      <c r="B700" s="3">
        <v>21849</v>
      </c>
      <c r="C700" s="3">
        <v>21335</v>
      </c>
      <c r="D700" s="3">
        <v>21865</v>
      </c>
      <c r="E700" s="3">
        <v>21335</v>
      </c>
      <c r="F700" s="3">
        <v>10</v>
      </c>
      <c r="G700" s="7">
        <f t="shared" si="98"/>
        <v>1</v>
      </c>
      <c r="H700" s="5">
        <f t="shared" si="93"/>
        <v>2.3372365339578455E-2</v>
      </c>
      <c r="I700" s="4">
        <f t="shared" si="94"/>
        <v>-7.0257611241217799E-4</v>
      </c>
      <c r="J700" s="4">
        <f t="shared" si="95"/>
        <v>1.1566042100393246E-2</v>
      </c>
      <c r="K700" s="4">
        <f t="shared" si="96"/>
        <v>6.3679245283018871E-3</v>
      </c>
      <c r="L700" s="4">
        <f t="shared" si="97"/>
        <v>0</v>
      </c>
      <c r="M700" s="3">
        <f t="shared" si="90"/>
        <v>6</v>
      </c>
      <c r="N700" s="3">
        <f t="shared" si="91"/>
        <v>24</v>
      </c>
      <c r="O700" s="3">
        <f t="shared" si="92"/>
        <v>5</v>
      </c>
    </row>
    <row r="701" spans="1:15" x14ac:dyDescent="0.2">
      <c r="A701" s="2">
        <v>44739</v>
      </c>
      <c r="B701" s="3">
        <v>21674</v>
      </c>
      <c r="C701" s="3">
        <v>22010</v>
      </c>
      <c r="D701" s="3">
        <v>22035</v>
      </c>
      <c r="E701" s="3">
        <v>21605</v>
      </c>
      <c r="F701" s="3">
        <v>10</v>
      </c>
      <c r="G701" s="7">
        <f t="shared" si="98"/>
        <v>0</v>
      </c>
      <c r="H701" s="5">
        <f t="shared" si="93"/>
        <v>-8.0095198864936611E-3</v>
      </c>
      <c r="I701" s="4">
        <f t="shared" si="94"/>
        <v>3.163815326927584E-2</v>
      </c>
      <c r="J701" s="4">
        <f t="shared" si="95"/>
        <v>7.7749828493025386E-3</v>
      </c>
      <c r="K701" s="4">
        <f t="shared" si="96"/>
        <v>1.2655261307710336E-2</v>
      </c>
      <c r="L701" s="4">
        <f t="shared" si="97"/>
        <v>0</v>
      </c>
      <c r="M701" s="3">
        <f t="shared" si="90"/>
        <v>6</v>
      </c>
      <c r="N701" s="3">
        <f t="shared" si="91"/>
        <v>27</v>
      </c>
      <c r="O701" s="3">
        <f t="shared" si="92"/>
        <v>1</v>
      </c>
    </row>
    <row r="702" spans="1:15" x14ac:dyDescent="0.2">
      <c r="A702" s="2">
        <v>44740</v>
      </c>
      <c r="B702" s="3">
        <v>21831</v>
      </c>
      <c r="C702" s="3">
        <v>21850</v>
      </c>
      <c r="D702" s="3">
        <v>21945</v>
      </c>
      <c r="E702" s="3">
        <v>21850</v>
      </c>
      <c r="F702" s="3">
        <v>10</v>
      </c>
      <c r="G702" s="7">
        <f t="shared" si="98"/>
        <v>1</v>
      </c>
      <c r="H702" s="5">
        <f t="shared" si="93"/>
        <v>7.2437021315862327E-3</v>
      </c>
      <c r="I702" s="4">
        <f t="shared" si="94"/>
        <v>-7.2694229895502041E-3</v>
      </c>
      <c r="J702" s="4">
        <f t="shared" si="95"/>
        <v>-4.0844111640571815E-3</v>
      </c>
      <c r="K702" s="4">
        <f t="shared" si="96"/>
        <v>1.1339967600092571E-2</v>
      </c>
      <c r="L702" s="4">
        <f t="shared" si="97"/>
        <v>0</v>
      </c>
      <c r="M702" s="3">
        <f t="shared" si="90"/>
        <v>6</v>
      </c>
      <c r="N702" s="3">
        <f t="shared" si="91"/>
        <v>28</v>
      </c>
      <c r="O702" s="3">
        <f t="shared" si="92"/>
        <v>2</v>
      </c>
    </row>
    <row r="703" spans="1:15" x14ac:dyDescent="0.2">
      <c r="A703" s="2">
        <v>44741</v>
      </c>
      <c r="B703" s="3">
        <v>21570</v>
      </c>
      <c r="C703" s="3">
        <v>21595</v>
      </c>
      <c r="D703" s="3">
        <v>21595</v>
      </c>
      <c r="E703" s="3">
        <v>21540</v>
      </c>
      <c r="F703" s="3">
        <v>10</v>
      </c>
      <c r="G703" s="7">
        <f t="shared" si="98"/>
        <v>0</v>
      </c>
      <c r="H703" s="5">
        <f t="shared" si="93"/>
        <v>-1.1955476157757317E-2</v>
      </c>
      <c r="I703" s="4">
        <f t="shared" si="94"/>
        <v>-1.1670480549199084E-2</v>
      </c>
      <c r="J703" s="4">
        <f t="shared" si="95"/>
        <v>-1.5948963317384369E-2</v>
      </c>
      <c r="K703" s="4">
        <f t="shared" si="96"/>
        <v>-1.4187643020594966E-2</v>
      </c>
      <c r="L703" s="4">
        <f t="shared" si="97"/>
        <v>0</v>
      </c>
      <c r="M703" s="3">
        <f t="shared" si="90"/>
        <v>6</v>
      </c>
      <c r="N703" s="3">
        <f t="shared" si="91"/>
        <v>29</v>
      </c>
      <c r="O703" s="3">
        <f t="shared" si="92"/>
        <v>3</v>
      </c>
    </row>
    <row r="704" spans="1:15" x14ac:dyDescent="0.2">
      <c r="A704" s="2">
        <v>44742</v>
      </c>
      <c r="B704" s="3">
        <v>21043</v>
      </c>
      <c r="C704" s="3">
        <v>21300</v>
      </c>
      <c r="D704" s="3">
        <v>21340</v>
      </c>
      <c r="E704" s="3">
        <v>20970</v>
      </c>
      <c r="F704" s="3">
        <v>20</v>
      </c>
      <c r="G704" s="7">
        <f t="shared" si="98"/>
        <v>0</v>
      </c>
      <c r="H704" s="5">
        <f t="shared" si="93"/>
        <v>-2.4432081594807604E-2</v>
      </c>
      <c r="I704" s="4">
        <f t="shared" si="94"/>
        <v>-1.3660569576290808E-2</v>
      </c>
      <c r="J704" s="4">
        <f t="shared" si="95"/>
        <v>-1.18082889557768E-2</v>
      </c>
      <c r="K704" s="4">
        <f t="shared" si="96"/>
        <v>-2.6462395543175487E-2</v>
      </c>
      <c r="L704" s="4">
        <f t="shared" si="97"/>
        <v>1</v>
      </c>
      <c r="M704" s="3">
        <f t="shared" si="90"/>
        <v>6</v>
      </c>
      <c r="N704" s="3">
        <f t="shared" si="91"/>
        <v>30</v>
      </c>
      <c r="O704" s="3">
        <f t="shared" si="92"/>
        <v>4</v>
      </c>
    </row>
    <row r="705" spans="1:15" x14ac:dyDescent="0.2">
      <c r="A705" s="2">
        <v>44743</v>
      </c>
      <c r="B705" s="3">
        <v>21072</v>
      </c>
      <c r="C705" s="3">
        <v>21065</v>
      </c>
      <c r="D705" s="3">
        <v>21090</v>
      </c>
      <c r="E705" s="3">
        <v>21065</v>
      </c>
      <c r="F705" s="3">
        <v>10</v>
      </c>
      <c r="G705" s="7">
        <f t="shared" si="98"/>
        <v>1</v>
      </c>
      <c r="H705" s="5">
        <f t="shared" si="93"/>
        <v>1.3781304947013259E-3</v>
      </c>
      <c r="I705" s="4">
        <f t="shared" si="94"/>
        <v>-1.1032863849765259E-2</v>
      </c>
      <c r="J705" s="4">
        <f t="shared" si="95"/>
        <v>-1.1715089034676664E-2</v>
      </c>
      <c r="K705" s="4">
        <f t="shared" si="96"/>
        <v>4.5302813543156894E-3</v>
      </c>
      <c r="L705" s="4">
        <f t="shared" si="97"/>
        <v>-0.5</v>
      </c>
      <c r="M705" s="3">
        <f t="shared" si="90"/>
        <v>7</v>
      </c>
      <c r="N705" s="3">
        <f t="shared" si="91"/>
        <v>1</v>
      </c>
      <c r="O705" s="3">
        <f t="shared" si="92"/>
        <v>5</v>
      </c>
    </row>
    <row r="706" spans="1:15" x14ac:dyDescent="0.2">
      <c r="A706" s="2">
        <v>44746</v>
      </c>
      <c r="B706" s="3">
        <v>21100</v>
      </c>
      <c r="C706" s="3">
        <v>21295</v>
      </c>
      <c r="D706" s="3">
        <v>21295</v>
      </c>
      <c r="E706" s="3">
        <v>21060</v>
      </c>
      <c r="F706" s="3">
        <v>10</v>
      </c>
      <c r="G706" s="7">
        <f t="shared" si="98"/>
        <v>1</v>
      </c>
      <c r="H706" s="5">
        <f t="shared" si="93"/>
        <v>1.3287775246772968E-3</v>
      </c>
      <c r="I706" s="4">
        <f t="shared" si="94"/>
        <v>1.0918585331117968E-2</v>
      </c>
      <c r="J706" s="4">
        <f t="shared" si="95"/>
        <v>9.7202465623518249E-3</v>
      </c>
      <c r="K706" s="4">
        <f t="shared" si="96"/>
        <v>-2.3736055067647758E-4</v>
      </c>
      <c r="L706" s="4">
        <f t="shared" si="97"/>
        <v>0</v>
      </c>
      <c r="M706" s="3">
        <f t="shared" ref="M706:M769" si="99">MONTH(A706)</f>
        <v>7</v>
      </c>
      <c r="N706" s="3">
        <f t="shared" ref="N706:N769" si="100">DAY(A706)</f>
        <v>4</v>
      </c>
      <c r="O706" s="3">
        <f t="shared" ref="O706:O769" si="101">WEEKDAY(A706,2)</f>
        <v>1</v>
      </c>
    </row>
    <row r="707" spans="1:15" x14ac:dyDescent="0.2">
      <c r="A707" s="2">
        <v>44747</v>
      </c>
      <c r="B707" s="3">
        <v>20463</v>
      </c>
      <c r="C707" s="3">
        <v>20715</v>
      </c>
      <c r="D707" s="3">
        <v>20715</v>
      </c>
      <c r="E707" s="3">
        <v>20585</v>
      </c>
      <c r="F707" s="3">
        <v>10</v>
      </c>
      <c r="G707" s="7">
        <f t="shared" si="98"/>
        <v>0</v>
      </c>
      <c r="H707" s="5">
        <f t="shared" ref="H707:H770" si="102">(B707-B706)/B706</f>
        <v>-3.0189573459715641E-2</v>
      </c>
      <c r="I707" s="4">
        <f t="shared" ref="I707:I770" si="103">(C707-C706)/C706</f>
        <v>-2.7236440478985678E-2</v>
      </c>
      <c r="J707" s="4">
        <f t="shared" ref="J707:J770" si="104">(D707-D706)/D706</f>
        <v>-2.7236440478985678E-2</v>
      </c>
      <c r="K707" s="4">
        <f t="shared" ref="K707:K770" si="105">(E707-E706)/E706</f>
        <v>-2.2554605887939221E-2</v>
      </c>
      <c r="L707" s="4">
        <f t="shared" ref="L707:L770" si="106">(F707-F706)/F706</f>
        <v>0</v>
      </c>
      <c r="M707" s="3">
        <f t="shared" si="99"/>
        <v>7</v>
      </c>
      <c r="N707" s="3">
        <f t="shared" si="100"/>
        <v>5</v>
      </c>
      <c r="O707" s="3">
        <f t="shared" si="101"/>
        <v>2</v>
      </c>
    </row>
    <row r="708" spans="1:15" x14ac:dyDescent="0.2">
      <c r="A708" s="2">
        <v>44748</v>
      </c>
      <c r="B708" s="3">
        <v>20659</v>
      </c>
      <c r="C708" s="3">
        <v>20520</v>
      </c>
      <c r="D708" s="3">
        <v>20755</v>
      </c>
      <c r="E708" s="3">
        <v>20520</v>
      </c>
      <c r="F708" s="3">
        <v>10</v>
      </c>
      <c r="G708" s="7">
        <f t="shared" ref="G708:G771" si="107">IF(H708&lt;0, 0, 1)</f>
        <v>1</v>
      </c>
      <c r="H708" s="5">
        <f t="shared" si="102"/>
        <v>9.5782632067634259E-3</v>
      </c>
      <c r="I708" s="4">
        <f t="shared" si="103"/>
        <v>-9.4134685010861703E-3</v>
      </c>
      <c r="J708" s="4">
        <f t="shared" si="104"/>
        <v>1.9309678976587015E-3</v>
      </c>
      <c r="K708" s="4">
        <f t="shared" si="105"/>
        <v>-3.1576390575661891E-3</v>
      </c>
      <c r="L708" s="4">
        <f t="shared" si="106"/>
        <v>0</v>
      </c>
      <c r="M708" s="3">
        <f t="shared" si="99"/>
        <v>7</v>
      </c>
      <c r="N708" s="3">
        <f t="shared" si="100"/>
        <v>6</v>
      </c>
      <c r="O708" s="3">
        <f t="shared" si="101"/>
        <v>3</v>
      </c>
    </row>
    <row r="709" spans="1:15" x14ac:dyDescent="0.2">
      <c r="A709" s="2">
        <v>44749</v>
      </c>
      <c r="B709" s="3">
        <v>21273</v>
      </c>
      <c r="C709" s="3">
        <v>20895</v>
      </c>
      <c r="D709" s="3">
        <v>21310</v>
      </c>
      <c r="E709" s="3">
        <v>20870</v>
      </c>
      <c r="F709" s="3">
        <v>10</v>
      </c>
      <c r="G709" s="7">
        <f t="shared" si="107"/>
        <v>1</v>
      </c>
      <c r="H709" s="5">
        <f t="shared" si="102"/>
        <v>2.972070284137664E-2</v>
      </c>
      <c r="I709" s="4">
        <f t="shared" si="103"/>
        <v>1.827485380116959E-2</v>
      </c>
      <c r="J709" s="4">
        <f t="shared" si="104"/>
        <v>2.6740544447121175E-2</v>
      </c>
      <c r="K709" s="4">
        <f t="shared" si="105"/>
        <v>1.705653021442495E-2</v>
      </c>
      <c r="L709" s="4">
        <f t="shared" si="106"/>
        <v>0</v>
      </c>
      <c r="M709" s="3">
        <f t="shared" si="99"/>
        <v>7</v>
      </c>
      <c r="N709" s="3">
        <f t="shared" si="100"/>
        <v>7</v>
      </c>
      <c r="O709" s="3">
        <f t="shared" si="101"/>
        <v>4</v>
      </c>
    </row>
    <row r="710" spans="1:15" x14ac:dyDescent="0.2">
      <c r="A710" s="2">
        <v>44750</v>
      </c>
      <c r="B710" s="3">
        <v>21489</v>
      </c>
      <c r="C710" s="3">
        <v>21340</v>
      </c>
      <c r="D710" s="3">
        <v>21490</v>
      </c>
      <c r="E710" s="3">
        <v>21340</v>
      </c>
      <c r="F710" s="3">
        <v>10</v>
      </c>
      <c r="G710" s="7">
        <f t="shared" si="107"/>
        <v>1</v>
      </c>
      <c r="H710" s="5">
        <f t="shared" si="102"/>
        <v>1.0153715978000282E-2</v>
      </c>
      <c r="I710" s="4">
        <f t="shared" si="103"/>
        <v>2.1296960995453459E-2</v>
      </c>
      <c r="J710" s="4">
        <f t="shared" si="104"/>
        <v>8.4467386203660247E-3</v>
      </c>
      <c r="K710" s="4">
        <f t="shared" si="105"/>
        <v>2.2520364159080018E-2</v>
      </c>
      <c r="L710" s="4">
        <f t="shared" si="106"/>
        <v>0</v>
      </c>
      <c r="M710" s="3">
        <f t="shared" si="99"/>
        <v>7</v>
      </c>
      <c r="N710" s="3">
        <f t="shared" si="100"/>
        <v>8</v>
      </c>
      <c r="O710" s="3">
        <f t="shared" si="101"/>
        <v>5</v>
      </c>
    </row>
    <row r="711" spans="1:15" x14ac:dyDescent="0.2">
      <c r="A711" s="2">
        <v>44753</v>
      </c>
      <c r="B711" s="3">
        <v>21311</v>
      </c>
      <c r="C711" s="3">
        <v>21225</v>
      </c>
      <c r="D711" s="3">
        <v>21225</v>
      </c>
      <c r="E711" s="3">
        <v>21200</v>
      </c>
      <c r="F711" s="3">
        <v>10</v>
      </c>
      <c r="G711" s="7">
        <f t="shared" si="107"/>
        <v>0</v>
      </c>
      <c r="H711" s="5">
        <f t="shared" si="102"/>
        <v>-8.2833077388431292E-3</v>
      </c>
      <c r="I711" s="4">
        <f t="shared" si="103"/>
        <v>-5.3889409559512652E-3</v>
      </c>
      <c r="J711" s="4">
        <f t="shared" si="104"/>
        <v>-1.2331316891577479E-2</v>
      </c>
      <c r="K711" s="4">
        <f t="shared" si="105"/>
        <v>-6.5604498594189313E-3</v>
      </c>
      <c r="L711" s="4">
        <f t="shared" si="106"/>
        <v>0</v>
      </c>
      <c r="M711" s="3">
        <f t="shared" si="99"/>
        <v>7</v>
      </c>
      <c r="N711" s="3">
        <f t="shared" si="100"/>
        <v>11</v>
      </c>
      <c r="O711" s="3">
        <f t="shared" si="101"/>
        <v>1</v>
      </c>
    </row>
    <row r="712" spans="1:15" x14ac:dyDescent="0.2">
      <c r="A712" s="2">
        <v>44754</v>
      </c>
      <c r="B712" s="3">
        <v>21224</v>
      </c>
      <c r="C712" s="3">
        <v>21270</v>
      </c>
      <c r="D712" s="3">
        <v>21270</v>
      </c>
      <c r="E712" s="3">
        <v>21040</v>
      </c>
      <c r="F712" s="3">
        <v>20</v>
      </c>
      <c r="G712" s="7">
        <f t="shared" si="107"/>
        <v>0</v>
      </c>
      <c r="H712" s="5">
        <f t="shared" si="102"/>
        <v>-4.0823987612031345E-3</v>
      </c>
      <c r="I712" s="4">
        <f t="shared" si="103"/>
        <v>2.1201413427561835E-3</v>
      </c>
      <c r="J712" s="4">
        <f t="shared" si="104"/>
        <v>2.1201413427561835E-3</v>
      </c>
      <c r="K712" s="4">
        <f t="shared" si="105"/>
        <v>-7.5471698113207548E-3</v>
      </c>
      <c r="L712" s="4">
        <f t="shared" si="106"/>
        <v>1</v>
      </c>
      <c r="M712" s="3">
        <f t="shared" si="99"/>
        <v>7</v>
      </c>
      <c r="N712" s="3">
        <f t="shared" si="100"/>
        <v>12</v>
      </c>
      <c r="O712" s="3">
        <f t="shared" si="101"/>
        <v>2</v>
      </c>
    </row>
    <row r="713" spans="1:15" x14ac:dyDescent="0.2">
      <c r="A713" s="2">
        <v>44755</v>
      </c>
      <c r="B713" s="3">
        <v>21037</v>
      </c>
      <c r="C713" s="3">
        <v>21115</v>
      </c>
      <c r="D713" s="3">
        <v>21115</v>
      </c>
      <c r="E713" s="3">
        <v>20800</v>
      </c>
      <c r="F713" s="3">
        <v>20</v>
      </c>
      <c r="G713" s="7">
        <f t="shared" si="107"/>
        <v>0</v>
      </c>
      <c r="H713" s="5">
        <f t="shared" si="102"/>
        <v>-8.8107802487749718E-3</v>
      </c>
      <c r="I713" s="4">
        <f t="shared" si="103"/>
        <v>-7.2872590503055947E-3</v>
      </c>
      <c r="J713" s="4">
        <f t="shared" si="104"/>
        <v>-7.2872590503055947E-3</v>
      </c>
      <c r="K713" s="4">
        <f t="shared" si="105"/>
        <v>-1.1406844106463879E-2</v>
      </c>
      <c r="L713" s="4">
        <f t="shared" si="106"/>
        <v>0</v>
      </c>
      <c r="M713" s="3">
        <f t="shared" si="99"/>
        <v>7</v>
      </c>
      <c r="N713" s="3">
        <f t="shared" si="100"/>
        <v>13</v>
      </c>
      <c r="O713" s="3">
        <f t="shared" si="101"/>
        <v>3</v>
      </c>
    </row>
    <row r="714" spans="1:15" x14ac:dyDescent="0.2">
      <c r="A714" s="2">
        <v>44756</v>
      </c>
      <c r="B714" s="3">
        <v>20317</v>
      </c>
      <c r="C714" s="3">
        <v>20800</v>
      </c>
      <c r="D714" s="3">
        <v>20800</v>
      </c>
      <c r="E714" s="3">
        <v>20005</v>
      </c>
      <c r="F714" s="3">
        <v>30</v>
      </c>
      <c r="G714" s="7">
        <f t="shared" si="107"/>
        <v>0</v>
      </c>
      <c r="H714" s="5">
        <f t="shared" si="102"/>
        <v>-3.4225412368683747E-2</v>
      </c>
      <c r="I714" s="4">
        <f t="shared" si="103"/>
        <v>-1.4918304522851054E-2</v>
      </c>
      <c r="J714" s="4">
        <f t="shared" si="104"/>
        <v>-1.4918304522851054E-2</v>
      </c>
      <c r="K714" s="4">
        <f t="shared" si="105"/>
        <v>-3.8221153846153849E-2</v>
      </c>
      <c r="L714" s="4">
        <f t="shared" si="106"/>
        <v>0.5</v>
      </c>
      <c r="M714" s="3">
        <f t="shared" si="99"/>
        <v>7</v>
      </c>
      <c r="N714" s="3">
        <f t="shared" si="100"/>
        <v>14</v>
      </c>
      <c r="O714" s="3">
        <f t="shared" si="101"/>
        <v>4</v>
      </c>
    </row>
    <row r="715" spans="1:15" x14ac:dyDescent="0.2">
      <c r="A715" s="2">
        <v>44757</v>
      </c>
      <c r="B715" s="3">
        <v>20702</v>
      </c>
      <c r="C715" s="3">
        <v>20375</v>
      </c>
      <c r="D715" s="3">
        <v>20675</v>
      </c>
      <c r="E715" s="3">
        <v>20375</v>
      </c>
      <c r="F715" s="3">
        <v>10</v>
      </c>
      <c r="G715" s="7">
        <f t="shared" si="107"/>
        <v>1</v>
      </c>
      <c r="H715" s="5">
        <f t="shared" si="102"/>
        <v>1.8949648077964266E-2</v>
      </c>
      <c r="I715" s="4">
        <f t="shared" si="103"/>
        <v>-2.0432692307692308E-2</v>
      </c>
      <c r="J715" s="4">
        <f t="shared" si="104"/>
        <v>-6.0096153846153849E-3</v>
      </c>
      <c r="K715" s="4">
        <f t="shared" si="105"/>
        <v>1.8495376155961009E-2</v>
      </c>
      <c r="L715" s="4">
        <f t="shared" si="106"/>
        <v>-0.66666666666666663</v>
      </c>
      <c r="M715" s="3">
        <f t="shared" si="99"/>
        <v>7</v>
      </c>
      <c r="N715" s="3">
        <f t="shared" si="100"/>
        <v>15</v>
      </c>
      <c r="O715" s="3">
        <f t="shared" si="101"/>
        <v>5</v>
      </c>
    </row>
    <row r="716" spans="1:15" x14ac:dyDescent="0.2">
      <c r="A716" s="2">
        <v>44760</v>
      </c>
      <c r="B716" s="3">
        <v>20967</v>
      </c>
      <c r="C716" s="3">
        <v>20710</v>
      </c>
      <c r="D716" s="3">
        <v>21005</v>
      </c>
      <c r="E716" s="3">
        <v>20710</v>
      </c>
      <c r="F716" s="3">
        <v>10</v>
      </c>
      <c r="G716" s="7">
        <f t="shared" si="107"/>
        <v>1</v>
      </c>
      <c r="H716" s="5">
        <f t="shared" si="102"/>
        <v>1.2800695584967636E-2</v>
      </c>
      <c r="I716" s="4">
        <f t="shared" si="103"/>
        <v>1.6441717791411042E-2</v>
      </c>
      <c r="J716" s="4">
        <f t="shared" si="104"/>
        <v>1.5961305925030228E-2</v>
      </c>
      <c r="K716" s="4">
        <f t="shared" si="105"/>
        <v>1.6441717791411042E-2</v>
      </c>
      <c r="L716" s="4">
        <f t="shared" si="106"/>
        <v>0</v>
      </c>
      <c r="M716" s="3">
        <f t="shared" si="99"/>
        <v>7</v>
      </c>
      <c r="N716" s="3">
        <f t="shared" si="100"/>
        <v>18</v>
      </c>
      <c r="O716" s="3">
        <f t="shared" si="101"/>
        <v>1</v>
      </c>
    </row>
    <row r="717" spans="1:15" x14ac:dyDescent="0.2">
      <c r="A717" s="2">
        <v>44761</v>
      </c>
      <c r="B717" s="3">
        <v>21531</v>
      </c>
      <c r="C717" s="3">
        <v>20830</v>
      </c>
      <c r="D717" s="3">
        <v>21530</v>
      </c>
      <c r="E717" s="3">
        <v>20830</v>
      </c>
      <c r="F717" s="3">
        <v>30</v>
      </c>
      <c r="G717" s="7">
        <f t="shared" si="107"/>
        <v>1</v>
      </c>
      <c r="H717" s="5">
        <f t="shared" si="102"/>
        <v>2.689941336385749E-2</v>
      </c>
      <c r="I717" s="4">
        <f t="shared" si="103"/>
        <v>5.7943022694350553E-3</v>
      </c>
      <c r="J717" s="4">
        <f t="shared" si="104"/>
        <v>2.4994049035943822E-2</v>
      </c>
      <c r="K717" s="4">
        <f t="shared" si="105"/>
        <v>5.7943022694350553E-3</v>
      </c>
      <c r="L717" s="4">
        <f t="shared" si="106"/>
        <v>2</v>
      </c>
      <c r="M717" s="3">
        <f t="shared" si="99"/>
        <v>7</v>
      </c>
      <c r="N717" s="3">
        <f t="shared" si="100"/>
        <v>19</v>
      </c>
      <c r="O717" s="3">
        <f t="shared" si="101"/>
        <v>2</v>
      </c>
    </row>
    <row r="718" spans="1:15" x14ac:dyDescent="0.2">
      <c r="A718" s="2">
        <v>44762</v>
      </c>
      <c r="B718" s="3">
        <v>21187</v>
      </c>
      <c r="C718" s="3">
        <v>21465</v>
      </c>
      <c r="D718" s="3">
        <v>21665</v>
      </c>
      <c r="E718" s="3">
        <v>20660</v>
      </c>
      <c r="F718" s="3">
        <v>20</v>
      </c>
      <c r="G718" s="7">
        <f t="shared" si="107"/>
        <v>0</v>
      </c>
      <c r="H718" s="5">
        <f t="shared" si="102"/>
        <v>-1.5976963448051648E-2</v>
      </c>
      <c r="I718" s="4">
        <f t="shared" si="103"/>
        <v>3.0484877580412868E-2</v>
      </c>
      <c r="J718" s="4">
        <f t="shared" si="104"/>
        <v>6.2703204830469109E-3</v>
      </c>
      <c r="K718" s="4">
        <f t="shared" si="105"/>
        <v>-8.1613058089294293E-3</v>
      </c>
      <c r="L718" s="4">
        <f t="shared" si="106"/>
        <v>-0.33333333333333331</v>
      </c>
      <c r="M718" s="3">
        <f t="shared" si="99"/>
        <v>7</v>
      </c>
      <c r="N718" s="3">
        <f t="shared" si="100"/>
        <v>20</v>
      </c>
      <c r="O718" s="3">
        <f t="shared" si="101"/>
        <v>3</v>
      </c>
    </row>
    <row r="719" spans="1:15" x14ac:dyDescent="0.2">
      <c r="A719" s="2">
        <v>44763</v>
      </c>
      <c r="B719" s="3">
        <v>21016</v>
      </c>
      <c r="C719" s="3">
        <v>20665</v>
      </c>
      <c r="D719" s="3">
        <v>21145</v>
      </c>
      <c r="E719" s="3">
        <v>20665</v>
      </c>
      <c r="F719" s="3">
        <v>20</v>
      </c>
      <c r="G719" s="7">
        <f t="shared" si="107"/>
        <v>0</v>
      </c>
      <c r="H719" s="5">
        <f t="shared" si="102"/>
        <v>-8.0709869259451544E-3</v>
      </c>
      <c r="I719" s="4">
        <f t="shared" si="103"/>
        <v>-3.7269974376892619E-2</v>
      </c>
      <c r="J719" s="4">
        <f t="shared" si="104"/>
        <v>-2.4001846295868913E-2</v>
      </c>
      <c r="K719" s="4">
        <f t="shared" si="105"/>
        <v>2.4201355275895451E-4</v>
      </c>
      <c r="L719" s="4">
        <f t="shared" si="106"/>
        <v>0</v>
      </c>
      <c r="M719" s="3">
        <f t="shared" si="99"/>
        <v>7</v>
      </c>
      <c r="N719" s="3">
        <f t="shared" si="100"/>
        <v>21</v>
      </c>
      <c r="O719" s="3">
        <f t="shared" si="101"/>
        <v>4</v>
      </c>
    </row>
    <row r="720" spans="1:15" x14ac:dyDescent="0.2">
      <c r="A720" s="2">
        <v>44764</v>
      </c>
      <c r="B720" s="3">
        <v>21080</v>
      </c>
      <c r="C720" s="3">
        <v>20970</v>
      </c>
      <c r="D720" s="3">
        <v>21245</v>
      </c>
      <c r="E720" s="3">
        <v>20890</v>
      </c>
      <c r="F720" s="3">
        <v>30</v>
      </c>
      <c r="G720" s="7">
        <f t="shared" si="107"/>
        <v>1</v>
      </c>
      <c r="H720" s="5">
        <f t="shared" si="102"/>
        <v>3.0452988199467074E-3</v>
      </c>
      <c r="I720" s="4">
        <f t="shared" si="103"/>
        <v>1.4759254778611178E-2</v>
      </c>
      <c r="J720" s="4">
        <f t="shared" si="104"/>
        <v>4.7292504138094112E-3</v>
      </c>
      <c r="K720" s="4">
        <f t="shared" si="105"/>
        <v>1.0887974836680378E-2</v>
      </c>
      <c r="L720" s="4">
        <f t="shared" si="106"/>
        <v>0.5</v>
      </c>
      <c r="M720" s="3">
        <f t="shared" si="99"/>
        <v>7</v>
      </c>
      <c r="N720" s="3">
        <f t="shared" si="100"/>
        <v>22</v>
      </c>
      <c r="O720" s="3">
        <f t="shared" si="101"/>
        <v>5</v>
      </c>
    </row>
    <row r="721" spans="1:15" x14ac:dyDescent="0.2">
      <c r="A721" s="2">
        <v>44767</v>
      </c>
      <c r="B721" s="3">
        <v>21248</v>
      </c>
      <c r="C721" s="3">
        <v>21030</v>
      </c>
      <c r="D721" s="3">
        <v>21295</v>
      </c>
      <c r="E721" s="3">
        <v>21025</v>
      </c>
      <c r="F721" s="3">
        <v>30</v>
      </c>
      <c r="G721" s="7">
        <f t="shared" si="107"/>
        <v>1</v>
      </c>
      <c r="H721" s="5">
        <f t="shared" si="102"/>
        <v>7.9696394686907014E-3</v>
      </c>
      <c r="I721" s="4">
        <f t="shared" si="103"/>
        <v>2.8612303290414878E-3</v>
      </c>
      <c r="J721" s="4">
        <f t="shared" si="104"/>
        <v>2.3534949399858789E-3</v>
      </c>
      <c r="K721" s="4">
        <f t="shared" si="105"/>
        <v>6.4624222115844902E-3</v>
      </c>
      <c r="L721" s="4">
        <f t="shared" si="106"/>
        <v>0</v>
      </c>
      <c r="M721" s="3">
        <f t="shared" si="99"/>
        <v>7</v>
      </c>
      <c r="N721" s="3">
        <f t="shared" si="100"/>
        <v>25</v>
      </c>
      <c r="O721" s="3">
        <f t="shared" si="101"/>
        <v>1</v>
      </c>
    </row>
    <row r="722" spans="1:15" x14ac:dyDescent="0.2">
      <c r="A722" s="2">
        <v>44768</v>
      </c>
      <c r="B722" s="3">
        <v>21035</v>
      </c>
      <c r="C722" s="3">
        <v>21150</v>
      </c>
      <c r="D722" s="3">
        <v>21170</v>
      </c>
      <c r="E722" s="3">
        <v>20970</v>
      </c>
      <c r="F722" s="3">
        <v>10</v>
      </c>
      <c r="G722" s="7">
        <f t="shared" si="107"/>
        <v>0</v>
      </c>
      <c r="H722" s="5">
        <f t="shared" si="102"/>
        <v>-1.0024472891566265E-2</v>
      </c>
      <c r="I722" s="4">
        <f t="shared" si="103"/>
        <v>5.7061340941512127E-3</v>
      </c>
      <c r="J722" s="4">
        <f t="shared" si="104"/>
        <v>-5.8699225170227749E-3</v>
      </c>
      <c r="K722" s="4">
        <f t="shared" si="105"/>
        <v>-2.6159334126040429E-3</v>
      </c>
      <c r="L722" s="4">
        <f t="shared" si="106"/>
        <v>-0.66666666666666663</v>
      </c>
      <c r="M722" s="3">
        <f t="shared" si="99"/>
        <v>7</v>
      </c>
      <c r="N722" s="3">
        <f t="shared" si="100"/>
        <v>26</v>
      </c>
      <c r="O722" s="3">
        <f t="shared" si="101"/>
        <v>2</v>
      </c>
    </row>
    <row r="723" spans="1:15" x14ac:dyDescent="0.2">
      <c r="A723" s="2">
        <v>44769</v>
      </c>
      <c r="B723" s="3">
        <v>21334</v>
      </c>
      <c r="C723" s="3">
        <v>21225</v>
      </c>
      <c r="D723" s="3">
        <v>21520</v>
      </c>
      <c r="E723" s="3">
        <v>21135</v>
      </c>
      <c r="F723" s="3">
        <v>20</v>
      </c>
      <c r="G723" s="7">
        <f t="shared" si="107"/>
        <v>1</v>
      </c>
      <c r="H723" s="5">
        <f t="shared" si="102"/>
        <v>1.4214404563822201E-2</v>
      </c>
      <c r="I723" s="4">
        <f t="shared" si="103"/>
        <v>3.5460992907801418E-3</v>
      </c>
      <c r="J723" s="4">
        <f t="shared" si="104"/>
        <v>1.6532829475673121E-2</v>
      </c>
      <c r="K723" s="4">
        <f t="shared" si="105"/>
        <v>7.8683834048640915E-3</v>
      </c>
      <c r="L723" s="4">
        <f t="shared" si="106"/>
        <v>1</v>
      </c>
      <c r="M723" s="3">
        <f t="shared" si="99"/>
        <v>7</v>
      </c>
      <c r="N723" s="3">
        <f t="shared" si="100"/>
        <v>27</v>
      </c>
      <c r="O723" s="3">
        <f t="shared" si="101"/>
        <v>3</v>
      </c>
    </row>
    <row r="724" spans="1:15" x14ac:dyDescent="0.2">
      <c r="A724" s="2">
        <v>44770</v>
      </c>
      <c r="B724" s="3">
        <v>21767</v>
      </c>
      <c r="C724" s="3">
        <v>21545</v>
      </c>
      <c r="D724" s="3">
        <v>21905</v>
      </c>
      <c r="E724" s="3">
        <v>21500</v>
      </c>
      <c r="F724" s="3">
        <v>30</v>
      </c>
      <c r="G724" s="7">
        <f t="shared" si="107"/>
        <v>1</v>
      </c>
      <c r="H724" s="5">
        <f t="shared" si="102"/>
        <v>2.0296240742476799E-2</v>
      </c>
      <c r="I724" s="4">
        <f t="shared" si="103"/>
        <v>1.5076560659599529E-2</v>
      </c>
      <c r="J724" s="4">
        <f t="shared" si="104"/>
        <v>1.7890334572490705E-2</v>
      </c>
      <c r="K724" s="4">
        <f t="shared" si="105"/>
        <v>1.726993139342323E-2</v>
      </c>
      <c r="L724" s="4">
        <f t="shared" si="106"/>
        <v>0.5</v>
      </c>
      <c r="M724" s="3">
        <f t="shared" si="99"/>
        <v>7</v>
      </c>
      <c r="N724" s="3">
        <f t="shared" si="100"/>
        <v>28</v>
      </c>
      <c r="O724" s="3">
        <f t="shared" si="101"/>
        <v>4</v>
      </c>
    </row>
    <row r="725" spans="1:15" x14ac:dyDescent="0.2">
      <c r="A725" s="2">
        <v>44771</v>
      </c>
      <c r="B725" s="3">
        <v>22224</v>
      </c>
      <c r="C725" s="3">
        <v>21995</v>
      </c>
      <c r="D725" s="3">
        <v>22365</v>
      </c>
      <c r="E725" s="3">
        <v>21995</v>
      </c>
      <c r="F725" s="3">
        <v>80</v>
      </c>
      <c r="G725" s="7">
        <f t="shared" si="107"/>
        <v>1</v>
      </c>
      <c r="H725" s="5">
        <f t="shared" si="102"/>
        <v>2.0995084301924934E-2</v>
      </c>
      <c r="I725" s="4">
        <f t="shared" si="103"/>
        <v>2.0886516593177071E-2</v>
      </c>
      <c r="J725" s="4">
        <f t="shared" si="104"/>
        <v>2.0999771741611505E-2</v>
      </c>
      <c r="K725" s="4">
        <f t="shared" si="105"/>
        <v>2.3023255813953487E-2</v>
      </c>
      <c r="L725" s="4">
        <f t="shared" si="106"/>
        <v>1.6666666666666667</v>
      </c>
      <c r="M725" s="3">
        <f t="shared" si="99"/>
        <v>7</v>
      </c>
      <c r="N725" s="3">
        <f t="shared" si="100"/>
        <v>29</v>
      </c>
      <c r="O725" s="3">
        <f t="shared" si="101"/>
        <v>5</v>
      </c>
    </row>
    <row r="726" spans="1:15" x14ac:dyDescent="0.2">
      <c r="A726" s="2">
        <v>44774</v>
      </c>
      <c r="B726" s="3">
        <v>22291</v>
      </c>
      <c r="C726" s="3">
        <v>22220</v>
      </c>
      <c r="D726" s="3">
        <v>22640</v>
      </c>
      <c r="E726" s="3">
        <v>22200</v>
      </c>
      <c r="F726" s="3">
        <v>40</v>
      </c>
      <c r="G726" s="7">
        <f t="shared" si="107"/>
        <v>1</v>
      </c>
      <c r="H726" s="5">
        <f t="shared" si="102"/>
        <v>3.0147588192944563E-3</v>
      </c>
      <c r="I726" s="4">
        <f t="shared" si="103"/>
        <v>1.0229597635826324E-2</v>
      </c>
      <c r="J726" s="4">
        <f t="shared" si="104"/>
        <v>1.2295998211491169E-2</v>
      </c>
      <c r="K726" s="4">
        <f t="shared" si="105"/>
        <v>9.3203000681973177E-3</v>
      </c>
      <c r="L726" s="4">
        <f t="shared" si="106"/>
        <v>-0.5</v>
      </c>
      <c r="M726" s="3">
        <f t="shared" si="99"/>
        <v>8</v>
      </c>
      <c r="N726" s="3">
        <f t="shared" si="100"/>
        <v>1</v>
      </c>
      <c r="O726" s="3">
        <f t="shared" si="101"/>
        <v>1</v>
      </c>
    </row>
    <row r="727" spans="1:15" x14ac:dyDescent="0.2">
      <c r="A727" s="2">
        <v>44775</v>
      </c>
      <c r="B727" s="3">
        <v>22191</v>
      </c>
      <c r="C727" s="3">
        <v>22210</v>
      </c>
      <c r="D727" s="3">
        <v>22295</v>
      </c>
      <c r="E727" s="3">
        <v>22005</v>
      </c>
      <c r="F727" s="3">
        <v>20</v>
      </c>
      <c r="G727" s="7">
        <f t="shared" si="107"/>
        <v>0</v>
      </c>
      <c r="H727" s="5">
        <f t="shared" si="102"/>
        <v>-4.486115472612265E-3</v>
      </c>
      <c r="I727" s="4">
        <f t="shared" si="103"/>
        <v>-4.5004500450045003E-4</v>
      </c>
      <c r="J727" s="4">
        <f t="shared" si="104"/>
        <v>-1.5238515901060071E-2</v>
      </c>
      <c r="K727" s="4">
        <f t="shared" si="105"/>
        <v>-8.7837837837837843E-3</v>
      </c>
      <c r="L727" s="4">
        <f t="shared" si="106"/>
        <v>-0.5</v>
      </c>
      <c r="M727" s="3">
        <f t="shared" si="99"/>
        <v>8</v>
      </c>
      <c r="N727" s="3">
        <f t="shared" si="100"/>
        <v>2</v>
      </c>
      <c r="O727" s="3">
        <f t="shared" si="101"/>
        <v>2</v>
      </c>
    </row>
    <row r="728" spans="1:15" x14ac:dyDescent="0.2">
      <c r="A728" s="2">
        <v>44776</v>
      </c>
      <c r="B728" s="3">
        <v>22427</v>
      </c>
      <c r="C728" s="3">
        <v>22235</v>
      </c>
      <c r="D728" s="3">
        <v>22420</v>
      </c>
      <c r="E728" s="3">
        <v>22195</v>
      </c>
      <c r="F728" s="3">
        <v>10</v>
      </c>
      <c r="G728" s="7">
        <f t="shared" si="107"/>
        <v>1</v>
      </c>
      <c r="H728" s="5">
        <f t="shared" si="102"/>
        <v>1.0634942093641566E-2</v>
      </c>
      <c r="I728" s="4">
        <f t="shared" si="103"/>
        <v>1.1256190904997748E-3</v>
      </c>
      <c r="J728" s="4">
        <f t="shared" si="104"/>
        <v>5.6066382596994839E-3</v>
      </c>
      <c r="K728" s="4">
        <f t="shared" si="105"/>
        <v>8.6344012724380824E-3</v>
      </c>
      <c r="L728" s="4">
        <f t="shared" si="106"/>
        <v>-0.5</v>
      </c>
      <c r="M728" s="3">
        <f t="shared" si="99"/>
        <v>8</v>
      </c>
      <c r="N728" s="3">
        <f t="shared" si="100"/>
        <v>3</v>
      </c>
      <c r="O728" s="3">
        <f t="shared" si="101"/>
        <v>3</v>
      </c>
    </row>
    <row r="729" spans="1:15" x14ac:dyDescent="0.2">
      <c r="A729" s="2">
        <v>44777</v>
      </c>
      <c r="B729" s="3">
        <v>22491</v>
      </c>
      <c r="C729" s="3">
        <v>22500</v>
      </c>
      <c r="D729" s="3">
        <v>22720</v>
      </c>
      <c r="E729" s="3">
        <v>22485</v>
      </c>
      <c r="F729" s="3">
        <v>20</v>
      </c>
      <c r="G729" s="7">
        <f t="shared" si="107"/>
        <v>1</v>
      </c>
      <c r="H729" s="5">
        <f t="shared" si="102"/>
        <v>2.8537031256967047E-3</v>
      </c>
      <c r="I729" s="4">
        <f t="shared" si="103"/>
        <v>1.1918147065437373E-2</v>
      </c>
      <c r="J729" s="4">
        <f t="shared" si="104"/>
        <v>1.3380909901873328E-2</v>
      </c>
      <c r="K729" s="4">
        <f t="shared" si="105"/>
        <v>1.306600585717504E-2</v>
      </c>
      <c r="L729" s="4">
        <f t="shared" si="106"/>
        <v>1</v>
      </c>
      <c r="M729" s="3">
        <f t="shared" si="99"/>
        <v>8</v>
      </c>
      <c r="N729" s="3">
        <f t="shared" si="100"/>
        <v>4</v>
      </c>
      <c r="O729" s="3">
        <f t="shared" si="101"/>
        <v>4</v>
      </c>
    </row>
    <row r="730" spans="1:15" x14ac:dyDescent="0.2">
      <c r="A730" s="2">
        <v>44778</v>
      </c>
      <c r="B730" s="3">
        <v>22429</v>
      </c>
      <c r="C730" s="3">
        <v>22510</v>
      </c>
      <c r="D730" s="3">
        <v>22510</v>
      </c>
      <c r="E730" s="3">
        <v>22400</v>
      </c>
      <c r="F730" s="3">
        <v>20</v>
      </c>
      <c r="G730" s="7">
        <f t="shared" si="107"/>
        <v>0</v>
      </c>
      <c r="H730" s="5">
        <f t="shared" si="102"/>
        <v>-2.7566582188430929E-3</v>
      </c>
      <c r="I730" s="4">
        <f t="shared" si="103"/>
        <v>4.4444444444444447E-4</v>
      </c>
      <c r="J730" s="4">
        <f t="shared" si="104"/>
        <v>-9.2429577464788731E-3</v>
      </c>
      <c r="K730" s="4">
        <f t="shared" si="105"/>
        <v>-3.7802979764287301E-3</v>
      </c>
      <c r="L730" s="4">
        <f t="shared" si="106"/>
        <v>0</v>
      </c>
      <c r="M730" s="3">
        <f t="shared" si="99"/>
        <v>8</v>
      </c>
      <c r="N730" s="3">
        <f t="shared" si="100"/>
        <v>5</v>
      </c>
      <c r="O730" s="3">
        <f t="shared" si="101"/>
        <v>5</v>
      </c>
    </row>
    <row r="731" spans="1:15" x14ac:dyDescent="0.2">
      <c r="A731" s="2">
        <v>44781</v>
      </c>
      <c r="B731" s="3">
        <v>22581</v>
      </c>
      <c r="C731" s="3">
        <v>22600</v>
      </c>
      <c r="D731" s="3">
        <v>22610</v>
      </c>
      <c r="E731" s="3">
        <v>22475</v>
      </c>
      <c r="F731" s="3">
        <v>20</v>
      </c>
      <c r="G731" s="7">
        <f t="shared" si="107"/>
        <v>1</v>
      </c>
      <c r="H731" s="5">
        <f t="shared" si="102"/>
        <v>6.7769405680146236E-3</v>
      </c>
      <c r="I731" s="4">
        <f t="shared" si="103"/>
        <v>3.9982230119946687E-3</v>
      </c>
      <c r="J731" s="4">
        <f t="shared" si="104"/>
        <v>4.4424700133274099E-3</v>
      </c>
      <c r="K731" s="4">
        <f t="shared" si="105"/>
        <v>3.3482142857142855E-3</v>
      </c>
      <c r="L731" s="4">
        <f t="shared" si="106"/>
        <v>0</v>
      </c>
      <c r="M731" s="3">
        <f t="shared" si="99"/>
        <v>8</v>
      </c>
      <c r="N731" s="3">
        <f t="shared" si="100"/>
        <v>8</v>
      </c>
      <c r="O731" s="3">
        <f t="shared" si="101"/>
        <v>1</v>
      </c>
    </row>
    <row r="732" spans="1:15" x14ac:dyDescent="0.2">
      <c r="A732" s="2">
        <v>44782</v>
      </c>
      <c r="B732" s="3">
        <v>22339</v>
      </c>
      <c r="C732" s="3">
        <v>22570</v>
      </c>
      <c r="D732" s="3">
        <v>22570</v>
      </c>
      <c r="E732" s="3">
        <v>22315</v>
      </c>
      <c r="F732" s="3">
        <v>20</v>
      </c>
      <c r="G732" s="7">
        <f t="shared" si="107"/>
        <v>0</v>
      </c>
      <c r="H732" s="5">
        <f t="shared" si="102"/>
        <v>-1.0716974447544396E-2</v>
      </c>
      <c r="I732" s="4">
        <f t="shared" si="103"/>
        <v>-1.3274336283185841E-3</v>
      </c>
      <c r="J732" s="4">
        <f t="shared" si="104"/>
        <v>-1.7691287041132243E-3</v>
      </c>
      <c r="K732" s="4">
        <f t="shared" si="105"/>
        <v>-7.1190211345939936E-3</v>
      </c>
      <c r="L732" s="4">
        <f t="shared" si="106"/>
        <v>0</v>
      </c>
      <c r="M732" s="3">
        <f t="shared" si="99"/>
        <v>8</v>
      </c>
      <c r="N732" s="3">
        <f t="shared" si="100"/>
        <v>9</v>
      </c>
      <c r="O732" s="3">
        <f t="shared" si="101"/>
        <v>2</v>
      </c>
    </row>
    <row r="733" spans="1:15" x14ac:dyDescent="0.2">
      <c r="A733" s="2">
        <v>44783</v>
      </c>
      <c r="B733" s="3">
        <v>22557</v>
      </c>
      <c r="C733" s="3">
        <v>22315</v>
      </c>
      <c r="D733" s="3">
        <v>22570</v>
      </c>
      <c r="E733" s="3">
        <v>22285</v>
      </c>
      <c r="F733" s="3">
        <v>20</v>
      </c>
      <c r="G733" s="7">
        <f t="shared" si="107"/>
        <v>1</v>
      </c>
      <c r="H733" s="5">
        <f t="shared" si="102"/>
        <v>9.7587179372398049E-3</v>
      </c>
      <c r="I733" s="4">
        <f t="shared" si="103"/>
        <v>-1.129818342933097E-2</v>
      </c>
      <c r="J733" s="4">
        <f t="shared" si="104"/>
        <v>0</v>
      </c>
      <c r="K733" s="4">
        <f t="shared" si="105"/>
        <v>-1.3443871835088505E-3</v>
      </c>
      <c r="L733" s="4">
        <f t="shared" si="106"/>
        <v>0</v>
      </c>
      <c r="M733" s="3">
        <f t="shared" si="99"/>
        <v>8</v>
      </c>
      <c r="N733" s="3">
        <f t="shared" si="100"/>
        <v>10</v>
      </c>
      <c r="O733" s="3">
        <f t="shared" si="101"/>
        <v>3</v>
      </c>
    </row>
    <row r="734" spans="1:15" x14ac:dyDescent="0.2">
      <c r="A734" s="2">
        <v>44784</v>
      </c>
      <c r="B734" s="3">
        <v>22704</v>
      </c>
      <c r="C734" s="3">
        <v>22660</v>
      </c>
      <c r="D734" s="3">
        <v>22705</v>
      </c>
      <c r="E734" s="3">
        <v>22620</v>
      </c>
      <c r="F734" s="3">
        <v>10</v>
      </c>
      <c r="G734" s="7">
        <f t="shared" si="107"/>
        <v>1</v>
      </c>
      <c r="H734" s="5">
        <f t="shared" si="102"/>
        <v>6.5168240457507643E-3</v>
      </c>
      <c r="I734" s="4">
        <f t="shared" si="103"/>
        <v>1.5460452610351781E-2</v>
      </c>
      <c r="J734" s="4">
        <f t="shared" si="104"/>
        <v>5.9813912272928668E-3</v>
      </c>
      <c r="K734" s="4">
        <f t="shared" si="105"/>
        <v>1.5032533094009424E-2</v>
      </c>
      <c r="L734" s="4">
        <f t="shared" si="106"/>
        <v>-0.5</v>
      </c>
      <c r="M734" s="3">
        <f t="shared" si="99"/>
        <v>8</v>
      </c>
      <c r="N734" s="3">
        <f t="shared" si="100"/>
        <v>11</v>
      </c>
      <c r="O734" s="3">
        <f t="shared" si="101"/>
        <v>4</v>
      </c>
    </row>
    <row r="735" spans="1:15" x14ac:dyDescent="0.2">
      <c r="A735" s="2">
        <v>44785</v>
      </c>
      <c r="B735" s="3">
        <v>22825</v>
      </c>
      <c r="C735" s="3">
        <v>22720</v>
      </c>
      <c r="D735" s="3">
        <v>23000</v>
      </c>
      <c r="E735" s="3">
        <v>22720</v>
      </c>
      <c r="F735" s="3">
        <v>30</v>
      </c>
      <c r="G735" s="7">
        <f t="shared" si="107"/>
        <v>1</v>
      </c>
      <c r="H735" s="5">
        <f t="shared" si="102"/>
        <v>5.3294573643410852E-3</v>
      </c>
      <c r="I735" s="4">
        <f t="shared" si="103"/>
        <v>2.6478375992939102E-3</v>
      </c>
      <c r="J735" s="4">
        <f t="shared" si="104"/>
        <v>1.2992732878220656E-2</v>
      </c>
      <c r="K735" s="4">
        <f t="shared" si="105"/>
        <v>4.4208664898320073E-3</v>
      </c>
      <c r="L735" s="4">
        <f t="shared" si="106"/>
        <v>2</v>
      </c>
      <c r="M735" s="3">
        <f t="shared" si="99"/>
        <v>8</v>
      </c>
      <c r="N735" s="3">
        <f t="shared" si="100"/>
        <v>12</v>
      </c>
      <c r="O735" s="3">
        <f t="shared" si="101"/>
        <v>5</v>
      </c>
    </row>
    <row r="736" spans="1:15" x14ac:dyDescent="0.2">
      <c r="A736" s="2">
        <v>44789</v>
      </c>
      <c r="B736" s="3">
        <v>22857</v>
      </c>
      <c r="C736" s="3">
        <v>22940</v>
      </c>
      <c r="D736" s="3">
        <v>22980</v>
      </c>
      <c r="E736" s="3">
        <v>22850</v>
      </c>
      <c r="F736" s="3">
        <v>30</v>
      </c>
      <c r="G736" s="7">
        <f t="shared" si="107"/>
        <v>1</v>
      </c>
      <c r="H736" s="5">
        <f t="shared" si="102"/>
        <v>1.4019715224534502E-3</v>
      </c>
      <c r="I736" s="4">
        <f t="shared" si="103"/>
        <v>9.683098591549295E-3</v>
      </c>
      <c r="J736" s="4">
        <f t="shared" si="104"/>
        <v>-8.6956521739130438E-4</v>
      </c>
      <c r="K736" s="4">
        <f t="shared" si="105"/>
        <v>5.7218309859154931E-3</v>
      </c>
      <c r="L736" s="4">
        <f t="shared" si="106"/>
        <v>0</v>
      </c>
      <c r="M736" s="3">
        <f t="shared" si="99"/>
        <v>8</v>
      </c>
      <c r="N736" s="3">
        <f t="shared" si="100"/>
        <v>16</v>
      </c>
      <c r="O736" s="3">
        <f t="shared" si="101"/>
        <v>2</v>
      </c>
    </row>
    <row r="737" spans="1:15" x14ac:dyDescent="0.2">
      <c r="A737" s="2">
        <v>44790</v>
      </c>
      <c r="B737" s="3">
        <v>22611</v>
      </c>
      <c r="C737" s="3">
        <v>22970</v>
      </c>
      <c r="D737" s="3">
        <v>22970</v>
      </c>
      <c r="E737" s="3">
        <v>22590</v>
      </c>
      <c r="F737" s="3">
        <v>30</v>
      </c>
      <c r="G737" s="7">
        <f t="shared" si="107"/>
        <v>0</v>
      </c>
      <c r="H737" s="5">
        <f t="shared" si="102"/>
        <v>-1.0762567266045412E-2</v>
      </c>
      <c r="I737" s="4">
        <f t="shared" si="103"/>
        <v>1.3077593722755014E-3</v>
      </c>
      <c r="J737" s="4">
        <f t="shared" si="104"/>
        <v>-4.351610095735422E-4</v>
      </c>
      <c r="K737" s="4">
        <f t="shared" si="105"/>
        <v>-1.1378555798687089E-2</v>
      </c>
      <c r="L737" s="4">
        <f t="shared" si="106"/>
        <v>0</v>
      </c>
      <c r="M737" s="3">
        <f t="shared" si="99"/>
        <v>8</v>
      </c>
      <c r="N737" s="3">
        <f t="shared" si="100"/>
        <v>17</v>
      </c>
      <c r="O737" s="3">
        <f t="shared" si="101"/>
        <v>3</v>
      </c>
    </row>
    <row r="738" spans="1:15" x14ac:dyDescent="0.2">
      <c r="A738" s="2">
        <v>44791</v>
      </c>
      <c r="B738" s="3">
        <v>22846</v>
      </c>
      <c r="C738" s="3">
        <v>22745</v>
      </c>
      <c r="D738" s="3">
        <v>22860</v>
      </c>
      <c r="E738" s="3">
        <v>22690</v>
      </c>
      <c r="F738" s="3">
        <v>20</v>
      </c>
      <c r="G738" s="7">
        <f t="shared" si="107"/>
        <v>1</v>
      </c>
      <c r="H738" s="5">
        <f t="shared" si="102"/>
        <v>1.0393171465216046E-2</v>
      </c>
      <c r="I738" s="4">
        <f t="shared" si="103"/>
        <v>-9.7953852851545495E-3</v>
      </c>
      <c r="J738" s="4">
        <f t="shared" si="104"/>
        <v>-4.7888550282977798E-3</v>
      </c>
      <c r="K738" s="4">
        <f t="shared" si="105"/>
        <v>4.426737494466578E-3</v>
      </c>
      <c r="L738" s="4">
        <f t="shared" si="106"/>
        <v>-0.33333333333333331</v>
      </c>
      <c r="M738" s="3">
        <f t="shared" si="99"/>
        <v>8</v>
      </c>
      <c r="N738" s="3">
        <f t="shared" si="100"/>
        <v>18</v>
      </c>
      <c r="O738" s="3">
        <f t="shared" si="101"/>
        <v>4</v>
      </c>
    </row>
    <row r="739" spans="1:15" x14ac:dyDescent="0.2">
      <c r="A739" s="2">
        <v>44792</v>
      </c>
      <c r="B739" s="3">
        <v>22417</v>
      </c>
      <c r="C739" s="3">
        <v>22730</v>
      </c>
      <c r="D739" s="3">
        <v>22795</v>
      </c>
      <c r="E739" s="3">
        <v>22445</v>
      </c>
      <c r="F739" s="3">
        <v>20</v>
      </c>
      <c r="G739" s="7">
        <f t="shared" si="107"/>
        <v>0</v>
      </c>
      <c r="H739" s="5">
        <f t="shared" si="102"/>
        <v>-1.8777904228311302E-2</v>
      </c>
      <c r="I739" s="4">
        <f t="shared" si="103"/>
        <v>-6.594856012310398E-4</v>
      </c>
      <c r="J739" s="4">
        <f t="shared" si="104"/>
        <v>-2.8433945756780404E-3</v>
      </c>
      <c r="K739" s="4">
        <f t="shared" si="105"/>
        <v>-1.0797708241516086E-2</v>
      </c>
      <c r="L739" s="4">
        <f t="shared" si="106"/>
        <v>0</v>
      </c>
      <c r="M739" s="3">
        <f t="shared" si="99"/>
        <v>8</v>
      </c>
      <c r="N739" s="3">
        <f t="shared" si="100"/>
        <v>19</v>
      </c>
      <c r="O739" s="3">
        <f t="shared" si="101"/>
        <v>5</v>
      </c>
    </row>
    <row r="740" spans="1:15" x14ac:dyDescent="0.2">
      <c r="A740" s="2">
        <v>44795</v>
      </c>
      <c r="B740" s="3">
        <v>22018</v>
      </c>
      <c r="C740" s="3">
        <v>22250</v>
      </c>
      <c r="D740" s="3">
        <v>22250</v>
      </c>
      <c r="E740" s="3">
        <v>21935</v>
      </c>
      <c r="F740" s="3">
        <v>30</v>
      </c>
      <c r="G740" s="7">
        <f t="shared" si="107"/>
        <v>0</v>
      </c>
      <c r="H740" s="5">
        <f t="shared" si="102"/>
        <v>-1.7798991836552615E-2</v>
      </c>
      <c r="I740" s="4">
        <f t="shared" si="103"/>
        <v>-2.1117465904091508E-2</v>
      </c>
      <c r="J740" s="4">
        <f t="shared" si="104"/>
        <v>-2.3908751919280543E-2</v>
      </c>
      <c r="K740" s="4">
        <f t="shared" si="105"/>
        <v>-2.2722209846290933E-2</v>
      </c>
      <c r="L740" s="4">
        <f t="shared" si="106"/>
        <v>0.5</v>
      </c>
      <c r="M740" s="3">
        <f t="shared" si="99"/>
        <v>8</v>
      </c>
      <c r="N740" s="3">
        <f t="shared" si="100"/>
        <v>22</v>
      </c>
      <c r="O740" s="3">
        <f t="shared" si="101"/>
        <v>1</v>
      </c>
    </row>
    <row r="741" spans="1:15" x14ac:dyDescent="0.2">
      <c r="A741" s="2">
        <v>44796</v>
      </c>
      <c r="B741" s="3">
        <v>22224</v>
      </c>
      <c r="C741" s="3">
        <v>21885</v>
      </c>
      <c r="D741" s="3">
        <v>22315</v>
      </c>
      <c r="E741" s="3">
        <v>21880</v>
      </c>
      <c r="F741" s="3">
        <v>30</v>
      </c>
      <c r="G741" s="7">
        <f t="shared" si="107"/>
        <v>1</v>
      </c>
      <c r="H741" s="5">
        <f t="shared" si="102"/>
        <v>9.3559814697066045E-3</v>
      </c>
      <c r="I741" s="4">
        <f t="shared" si="103"/>
        <v>-1.6404494382022471E-2</v>
      </c>
      <c r="J741" s="4">
        <f t="shared" si="104"/>
        <v>2.9213483146067415E-3</v>
      </c>
      <c r="K741" s="4">
        <f t="shared" si="105"/>
        <v>-2.5074082516526098E-3</v>
      </c>
      <c r="L741" s="4">
        <f t="shared" si="106"/>
        <v>0</v>
      </c>
      <c r="M741" s="3">
        <f t="shared" si="99"/>
        <v>8</v>
      </c>
      <c r="N741" s="3">
        <f t="shared" si="100"/>
        <v>23</v>
      </c>
      <c r="O741" s="3">
        <f t="shared" si="101"/>
        <v>2</v>
      </c>
    </row>
    <row r="742" spans="1:15" x14ac:dyDescent="0.2">
      <c r="A742" s="2">
        <v>44797</v>
      </c>
      <c r="B742" s="3">
        <v>22296</v>
      </c>
      <c r="C742" s="3">
        <v>22185</v>
      </c>
      <c r="D742" s="3">
        <v>22310</v>
      </c>
      <c r="E742" s="3">
        <v>22060</v>
      </c>
      <c r="F742" s="3">
        <v>20</v>
      </c>
      <c r="G742" s="7">
        <f t="shared" si="107"/>
        <v>1</v>
      </c>
      <c r="H742" s="5">
        <f t="shared" si="102"/>
        <v>3.2397408207343412E-3</v>
      </c>
      <c r="I742" s="4">
        <f t="shared" si="103"/>
        <v>1.3708019191226868E-2</v>
      </c>
      <c r="J742" s="4">
        <f t="shared" si="104"/>
        <v>-2.2406453058480843E-4</v>
      </c>
      <c r="K742" s="4">
        <f t="shared" si="105"/>
        <v>8.2266910420475316E-3</v>
      </c>
      <c r="L742" s="4">
        <f t="shared" si="106"/>
        <v>-0.33333333333333331</v>
      </c>
      <c r="M742" s="3">
        <f t="shared" si="99"/>
        <v>8</v>
      </c>
      <c r="N742" s="3">
        <f t="shared" si="100"/>
        <v>24</v>
      </c>
      <c r="O742" s="3">
        <f t="shared" si="101"/>
        <v>3</v>
      </c>
    </row>
    <row r="743" spans="1:15" x14ac:dyDescent="0.2">
      <c r="A743" s="2">
        <v>44798</v>
      </c>
      <c r="B743" s="3">
        <v>22325</v>
      </c>
      <c r="C743" s="3">
        <v>22345</v>
      </c>
      <c r="D743" s="3">
        <v>22470</v>
      </c>
      <c r="E743" s="3">
        <v>22205</v>
      </c>
      <c r="F743" s="3">
        <v>30</v>
      </c>
      <c r="G743" s="7">
        <f t="shared" si="107"/>
        <v>1</v>
      </c>
      <c r="H743" s="5">
        <f t="shared" si="102"/>
        <v>1.3006817366343739E-3</v>
      </c>
      <c r="I743" s="4">
        <f t="shared" si="103"/>
        <v>7.2120802343926078E-3</v>
      </c>
      <c r="J743" s="4">
        <f t="shared" si="104"/>
        <v>7.1716718960107579E-3</v>
      </c>
      <c r="K743" s="4">
        <f t="shared" si="105"/>
        <v>6.5729827742520399E-3</v>
      </c>
      <c r="L743" s="4">
        <f t="shared" si="106"/>
        <v>0.5</v>
      </c>
      <c r="M743" s="3">
        <f t="shared" si="99"/>
        <v>8</v>
      </c>
      <c r="N743" s="3">
        <f t="shared" si="100"/>
        <v>25</v>
      </c>
      <c r="O743" s="3">
        <f t="shared" si="101"/>
        <v>4</v>
      </c>
    </row>
    <row r="744" spans="1:15" x14ac:dyDescent="0.2">
      <c r="A744" s="2">
        <v>44799</v>
      </c>
      <c r="B744" s="3">
        <v>21778</v>
      </c>
      <c r="C744" s="3">
        <v>22405</v>
      </c>
      <c r="D744" s="3">
        <v>22405</v>
      </c>
      <c r="E744" s="3">
        <v>21610</v>
      </c>
      <c r="F744" s="3">
        <v>40</v>
      </c>
      <c r="G744" s="7">
        <f t="shared" si="107"/>
        <v>0</v>
      </c>
      <c r="H744" s="5">
        <f t="shared" si="102"/>
        <v>-2.4501679731243002E-2</v>
      </c>
      <c r="I744" s="4">
        <f t="shared" si="103"/>
        <v>2.6851644663235625E-3</v>
      </c>
      <c r="J744" s="4">
        <f t="shared" si="104"/>
        <v>-2.8927458834000891E-3</v>
      </c>
      <c r="K744" s="4">
        <f t="shared" si="105"/>
        <v>-2.6795766719207387E-2</v>
      </c>
      <c r="L744" s="4">
        <f t="shared" si="106"/>
        <v>0.33333333333333331</v>
      </c>
      <c r="M744" s="3">
        <f t="shared" si="99"/>
        <v>8</v>
      </c>
      <c r="N744" s="3">
        <f t="shared" si="100"/>
        <v>26</v>
      </c>
      <c r="O744" s="3">
        <f t="shared" si="101"/>
        <v>5</v>
      </c>
    </row>
    <row r="745" spans="1:15" x14ac:dyDescent="0.2">
      <c r="A745" s="2">
        <v>44802</v>
      </c>
      <c r="B745" s="3">
        <v>21696</v>
      </c>
      <c r="C745" s="3">
        <v>21300</v>
      </c>
      <c r="D745" s="3">
        <v>21780</v>
      </c>
      <c r="E745" s="3">
        <v>21245</v>
      </c>
      <c r="F745" s="3">
        <v>30</v>
      </c>
      <c r="G745" s="7">
        <f t="shared" si="107"/>
        <v>0</v>
      </c>
      <c r="H745" s="5">
        <f t="shared" si="102"/>
        <v>-3.7652677013499864E-3</v>
      </c>
      <c r="I745" s="4">
        <f t="shared" si="103"/>
        <v>-4.9319348359741132E-2</v>
      </c>
      <c r="J745" s="4">
        <f t="shared" si="104"/>
        <v>-2.78955590270029E-2</v>
      </c>
      <c r="K745" s="4">
        <f t="shared" si="105"/>
        <v>-1.6890328551596483E-2</v>
      </c>
      <c r="L745" s="4">
        <f t="shared" si="106"/>
        <v>-0.25</v>
      </c>
      <c r="M745" s="3">
        <f t="shared" si="99"/>
        <v>8</v>
      </c>
      <c r="N745" s="3">
        <f t="shared" si="100"/>
        <v>29</v>
      </c>
      <c r="O745" s="3">
        <f t="shared" si="101"/>
        <v>1</v>
      </c>
    </row>
    <row r="746" spans="1:15" x14ac:dyDescent="0.2">
      <c r="A746" s="2">
        <v>44803</v>
      </c>
      <c r="B746" s="3">
        <v>21682</v>
      </c>
      <c r="C746" s="3">
        <v>21845</v>
      </c>
      <c r="D746" s="3">
        <v>22055</v>
      </c>
      <c r="E746" s="3">
        <v>21560</v>
      </c>
      <c r="F746" s="3">
        <v>40</v>
      </c>
      <c r="G746" s="7">
        <f t="shared" si="107"/>
        <v>0</v>
      </c>
      <c r="H746" s="5">
        <f t="shared" si="102"/>
        <v>-6.4528023598820058E-4</v>
      </c>
      <c r="I746" s="4">
        <f t="shared" si="103"/>
        <v>2.5586854460093896E-2</v>
      </c>
      <c r="J746" s="4">
        <f t="shared" si="104"/>
        <v>1.2626262626262626E-2</v>
      </c>
      <c r="K746" s="4">
        <f t="shared" si="105"/>
        <v>1.4827018121911038E-2</v>
      </c>
      <c r="L746" s="4">
        <f t="shared" si="106"/>
        <v>0.33333333333333331</v>
      </c>
      <c r="M746" s="3">
        <f t="shared" si="99"/>
        <v>8</v>
      </c>
      <c r="N746" s="3">
        <f t="shared" si="100"/>
        <v>30</v>
      </c>
      <c r="O746" s="3">
        <f t="shared" si="101"/>
        <v>2</v>
      </c>
    </row>
    <row r="747" spans="1:15" x14ac:dyDescent="0.2">
      <c r="A747" s="2">
        <v>44804</v>
      </c>
      <c r="B747" s="3">
        <v>21431</v>
      </c>
      <c r="C747" s="3">
        <v>21780</v>
      </c>
      <c r="D747" s="3">
        <v>21815</v>
      </c>
      <c r="E747" s="3">
        <v>21330</v>
      </c>
      <c r="F747" s="3">
        <v>50</v>
      </c>
      <c r="G747" s="7">
        <f t="shared" si="107"/>
        <v>0</v>
      </c>
      <c r="H747" s="5">
        <f t="shared" si="102"/>
        <v>-1.1576422839221475E-2</v>
      </c>
      <c r="I747" s="4">
        <f t="shared" si="103"/>
        <v>-2.9755092698558021E-3</v>
      </c>
      <c r="J747" s="4">
        <f t="shared" si="104"/>
        <v>-1.0881886193606891E-2</v>
      </c>
      <c r="K747" s="4">
        <f t="shared" si="105"/>
        <v>-1.0667903525046383E-2</v>
      </c>
      <c r="L747" s="4">
        <f t="shared" si="106"/>
        <v>0.25</v>
      </c>
      <c r="M747" s="3">
        <f t="shared" si="99"/>
        <v>8</v>
      </c>
      <c r="N747" s="3">
        <f t="shared" si="100"/>
        <v>31</v>
      </c>
      <c r="O747" s="3">
        <f t="shared" si="101"/>
        <v>3</v>
      </c>
    </row>
    <row r="748" spans="1:15" x14ac:dyDescent="0.2">
      <c r="A748" s="2">
        <v>44805</v>
      </c>
      <c r="B748" s="3">
        <v>21156</v>
      </c>
      <c r="C748" s="3">
        <v>21255</v>
      </c>
      <c r="D748" s="3">
        <v>21350</v>
      </c>
      <c r="E748" s="3">
        <v>21095</v>
      </c>
      <c r="F748" s="3">
        <v>50</v>
      </c>
      <c r="G748" s="7">
        <f t="shared" si="107"/>
        <v>0</v>
      </c>
      <c r="H748" s="5">
        <f t="shared" si="102"/>
        <v>-1.2831879053707246E-2</v>
      </c>
      <c r="I748" s="4">
        <f t="shared" si="103"/>
        <v>-2.4104683195592287E-2</v>
      </c>
      <c r="J748" s="4">
        <f t="shared" si="104"/>
        <v>-2.131560852624341E-2</v>
      </c>
      <c r="K748" s="4">
        <f t="shared" si="105"/>
        <v>-1.1017346460384434E-2</v>
      </c>
      <c r="L748" s="4">
        <f t="shared" si="106"/>
        <v>0</v>
      </c>
      <c r="M748" s="3">
        <f t="shared" si="99"/>
        <v>9</v>
      </c>
      <c r="N748" s="3">
        <f t="shared" si="100"/>
        <v>1</v>
      </c>
      <c r="O748" s="3">
        <f t="shared" si="101"/>
        <v>4</v>
      </c>
    </row>
    <row r="749" spans="1:15" x14ac:dyDescent="0.2">
      <c r="A749" s="2">
        <v>44806</v>
      </c>
      <c r="B749" s="3">
        <v>21773</v>
      </c>
      <c r="C749" s="3">
        <v>21385</v>
      </c>
      <c r="D749" s="3">
        <v>21800</v>
      </c>
      <c r="E749" s="3">
        <v>21175</v>
      </c>
      <c r="F749" s="3">
        <v>170</v>
      </c>
      <c r="G749" s="7">
        <f t="shared" si="107"/>
        <v>1</v>
      </c>
      <c r="H749" s="5">
        <f t="shared" si="102"/>
        <v>2.9164303270939686E-2</v>
      </c>
      <c r="I749" s="4">
        <f t="shared" si="103"/>
        <v>6.1162079510703364E-3</v>
      </c>
      <c r="J749" s="4">
        <f t="shared" si="104"/>
        <v>2.1077283372365339E-2</v>
      </c>
      <c r="K749" s="4">
        <f t="shared" si="105"/>
        <v>3.7923678596823891E-3</v>
      </c>
      <c r="L749" s="4">
        <f t="shared" si="106"/>
        <v>2.4</v>
      </c>
      <c r="M749" s="3">
        <f t="shared" si="99"/>
        <v>9</v>
      </c>
      <c r="N749" s="3">
        <f t="shared" si="100"/>
        <v>2</v>
      </c>
      <c r="O749" s="3">
        <f t="shared" si="101"/>
        <v>5</v>
      </c>
    </row>
    <row r="750" spans="1:15" x14ac:dyDescent="0.2">
      <c r="A750" s="2">
        <v>44809</v>
      </c>
      <c r="B750" s="3">
        <v>21347</v>
      </c>
      <c r="C750" s="3">
        <v>21150</v>
      </c>
      <c r="D750" s="3">
        <v>21370</v>
      </c>
      <c r="E750" s="3">
        <v>21145</v>
      </c>
      <c r="F750" s="3">
        <v>110</v>
      </c>
      <c r="G750" s="7">
        <f t="shared" si="107"/>
        <v>0</v>
      </c>
      <c r="H750" s="5">
        <f t="shared" si="102"/>
        <v>-1.9565516924631425E-2</v>
      </c>
      <c r="I750" s="4">
        <f t="shared" si="103"/>
        <v>-1.098901098901099E-2</v>
      </c>
      <c r="J750" s="4">
        <f t="shared" si="104"/>
        <v>-1.9724770642201836E-2</v>
      </c>
      <c r="K750" s="4">
        <f t="shared" si="105"/>
        <v>-1.4167650531286896E-3</v>
      </c>
      <c r="L750" s="4">
        <f t="shared" si="106"/>
        <v>-0.35294117647058826</v>
      </c>
      <c r="M750" s="3">
        <f t="shared" si="99"/>
        <v>9</v>
      </c>
      <c r="N750" s="3">
        <f t="shared" si="100"/>
        <v>5</v>
      </c>
      <c r="O750" s="3">
        <f t="shared" si="101"/>
        <v>1</v>
      </c>
    </row>
    <row r="751" spans="1:15" x14ac:dyDescent="0.2">
      <c r="A751" s="2">
        <v>44810</v>
      </c>
      <c r="B751" s="3">
        <v>21334</v>
      </c>
      <c r="C751" s="3">
        <v>21280</v>
      </c>
      <c r="D751" s="3">
        <v>21450</v>
      </c>
      <c r="E751" s="3">
        <v>21185</v>
      </c>
      <c r="F751" s="3">
        <v>120</v>
      </c>
      <c r="G751" s="7">
        <f t="shared" si="107"/>
        <v>0</v>
      </c>
      <c r="H751" s="5">
        <f t="shared" si="102"/>
        <v>-6.0898486906825315E-4</v>
      </c>
      <c r="I751" s="4">
        <f t="shared" si="103"/>
        <v>6.1465721040189127E-3</v>
      </c>
      <c r="J751" s="4">
        <f t="shared" si="104"/>
        <v>3.7435657463734209E-3</v>
      </c>
      <c r="K751" s="4">
        <f t="shared" si="105"/>
        <v>1.8917001655237645E-3</v>
      </c>
      <c r="L751" s="4">
        <f t="shared" si="106"/>
        <v>9.0909090909090912E-2</v>
      </c>
      <c r="M751" s="3">
        <f t="shared" si="99"/>
        <v>9</v>
      </c>
      <c r="N751" s="3">
        <f t="shared" si="100"/>
        <v>6</v>
      </c>
      <c r="O751" s="3">
        <f t="shared" si="101"/>
        <v>2</v>
      </c>
    </row>
    <row r="752" spans="1:15" x14ac:dyDescent="0.2">
      <c r="A752" s="2">
        <v>44811</v>
      </c>
      <c r="B752" s="3">
        <v>21368</v>
      </c>
      <c r="C752" s="3">
        <v>21135</v>
      </c>
      <c r="D752" s="3">
        <v>21465</v>
      </c>
      <c r="E752" s="3">
        <v>21115</v>
      </c>
      <c r="F752" s="3">
        <v>140</v>
      </c>
      <c r="G752" s="7">
        <f t="shared" si="107"/>
        <v>1</v>
      </c>
      <c r="H752" s="5">
        <f t="shared" si="102"/>
        <v>1.5937001968688478E-3</v>
      </c>
      <c r="I752" s="4">
        <f t="shared" si="103"/>
        <v>-6.8139097744360898E-3</v>
      </c>
      <c r="J752" s="4">
        <f t="shared" si="104"/>
        <v>6.993006993006993E-4</v>
      </c>
      <c r="K752" s="4">
        <f t="shared" si="105"/>
        <v>-3.3042246872787349E-3</v>
      </c>
      <c r="L752" s="4">
        <f t="shared" si="106"/>
        <v>0.16666666666666666</v>
      </c>
      <c r="M752" s="3">
        <f t="shared" si="99"/>
        <v>9</v>
      </c>
      <c r="N752" s="3">
        <f t="shared" si="100"/>
        <v>7</v>
      </c>
      <c r="O752" s="3">
        <f t="shared" si="101"/>
        <v>3</v>
      </c>
    </row>
    <row r="753" spans="1:15" x14ac:dyDescent="0.2">
      <c r="A753" s="2">
        <v>44812</v>
      </c>
      <c r="B753" s="3">
        <v>21522</v>
      </c>
      <c r="C753" s="3">
        <v>21515</v>
      </c>
      <c r="D753" s="3">
        <v>21570</v>
      </c>
      <c r="E753" s="3">
        <v>21040</v>
      </c>
      <c r="F753" s="3">
        <v>710</v>
      </c>
      <c r="G753" s="7">
        <f t="shared" si="107"/>
        <v>1</v>
      </c>
      <c r="H753" s="5">
        <f t="shared" si="102"/>
        <v>7.2070385623362035E-3</v>
      </c>
      <c r="I753" s="4">
        <f t="shared" si="103"/>
        <v>1.797965460137213E-2</v>
      </c>
      <c r="J753" s="4">
        <f t="shared" si="104"/>
        <v>4.8916841369671558E-3</v>
      </c>
      <c r="K753" s="4">
        <f t="shared" si="105"/>
        <v>-3.5519772673454891E-3</v>
      </c>
      <c r="L753" s="4">
        <f t="shared" si="106"/>
        <v>4.0714285714285712</v>
      </c>
      <c r="M753" s="3">
        <f t="shared" si="99"/>
        <v>9</v>
      </c>
      <c r="N753" s="3">
        <f t="shared" si="100"/>
        <v>8</v>
      </c>
      <c r="O753" s="3">
        <f t="shared" si="101"/>
        <v>4</v>
      </c>
    </row>
    <row r="754" spans="1:15" x14ac:dyDescent="0.2">
      <c r="A754" s="2">
        <v>44813</v>
      </c>
      <c r="B754" s="3">
        <v>21950</v>
      </c>
      <c r="C754" s="3">
        <v>21550</v>
      </c>
      <c r="D754" s="3">
        <v>22030</v>
      </c>
      <c r="E754" s="3">
        <v>21540</v>
      </c>
      <c r="F754" s="3">
        <v>4440</v>
      </c>
      <c r="G754" s="7">
        <f t="shared" si="107"/>
        <v>1</v>
      </c>
      <c r="H754" s="5">
        <f t="shared" si="102"/>
        <v>1.9886627636836726E-2</v>
      </c>
      <c r="I754" s="4">
        <f t="shared" si="103"/>
        <v>1.6267720195212642E-3</v>
      </c>
      <c r="J754" s="4">
        <f t="shared" si="104"/>
        <v>2.1325915623551229E-2</v>
      </c>
      <c r="K754" s="4">
        <f t="shared" si="105"/>
        <v>2.3764258555133078E-2</v>
      </c>
      <c r="L754" s="4">
        <f t="shared" si="106"/>
        <v>5.253521126760563</v>
      </c>
      <c r="M754" s="3">
        <f t="shared" si="99"/>
        <v>9</v>
      </c>
      <c r="N754" s="3">
        <f t="shared" si="100"/>
        <v>9</v>
      </c>
      <c r="O754" s="3">
        <f t="shared" si="101"/>
        <v>5</v>
      </c>
    </row>
    <row r="755" spans="1:15" x14ac:dyDescent="0.2">
      <c r="A755" s="2">
        <v>44816</v>
      </c>
      <c r="B755" s="3">
        <v>22467</v>
      </c>
      <c r="C755" s="3">
        <v>22100</v>
      </c>
      <c r="D755" s="3">
        <v>22545</v>
      </c>
      <c r="E755" s="3">
        <v>22050</v>
      </c>
      <c r="F755" s="3">
        <v>17810</v>
      </c>
      <c r="G755" s="7">
        <f t="shared" si="107"/>
        <v>1</v>
      </c>
      <c r="H755" s="5">
        <f t="shared" si="102"/>
        <v>2.3553530751708428E-2</v>
      </c>
      <c r="I755" s="4">
        <f t="shared" si="103"/>
        <v>2.5522041763341066E-2</v>
      </c>
      <c r="J755" s="4">
        <f t="shared" si="104"/>
        <v>2.3377212891511574E-2</v>
      </c>
      <c r="K755" s="4">
        <f t="shared" si="105"/>
        <v>2.3676880222841225E-2</v>
      </c>
      <c r="L755" s="4">
        <f t="shared" si="106"/>
        <v>3.0112612612612613</v>
      </c>
      <c r="M755" s="3">
        <f t="shared" si="99"/>
        <v>9</v>
      </c>
      <c r="N755" s="3">
        <f t="shared" si="100"/>
        <v>12</v>
      </c>
      <c r="O755" s="3">
        <f t="shared" si="101"/>
        <v>1</v>
      </c>
    </row>
    <row r="756" spans="1:15" x14ac:dyDescent="0.2">
      <c r="A756" s="2">
        <v>44817</v>
      </c>
      <c r="B756" s="3">
        <v>22190</v>
      </c>
      <c r="C756" s="3">
        <v>22500</v>
      </c>
      <c r="D756" s="3">
        <v>22750</v>
      </c>
      <c r="E756" s="3">
        <v>21980</v>
      </c>
      <c r="F756" s="3">
        <v>26350</v>
      </c>
      <c r="G756" s="7">
        <f t="shared" si="107"/>
        <v>0</v>
      </c>
      <c r="H756" s="5">
        <f t="shared" si="102"/>
        <v>-1.2329193928873459E-2</v>
      </c>
      <c r="I756" s="4">
        <f t="shared" si="103"/>
        <v>1.8099547511312219E-2</v>
      </c>
      <c r="J756" s="4">
        <f t="shared" si="104"/>
        <v>9.0929252605899315E-3</v>
      </c>
      <c r="K756" s="4">
        <f t="shared" si="105"/>
        <v>-3.1746031746031746E-3</v>
      </c>
      <c r="L756" s="4">
        <f t="shared" si="106"/>
        <v>0.47950589556428974</v>
      </c>
      <c r="M756" s="3">
        <f t="shared" si="99"/>
        <v>9</v>
      </c>
      <c r="N756" s="3">
        <f t="shared" si="100"/>
        <v>13</v>
      </c>
      <c r="O756" s="3">
        <f t="shared" si="101"/>
        <v>2</v>
      </c>
    </row>
    <row r="757" spans="1:15" x14ac:dyDescent="0.2">
      <c r="A757" s="2">
        <v>44818</v>
      </c>
      <c r="B757" s="3">
        <v>22308</v>
      </c>
      <c r="C757" s="3">
        <v>21985</v>
      </c>
      <c r="D757" s="3">
        <v>22380</v>
      </c>
      <c r="E757" s="3">
        <v>21955</v>
      </c>
      <c r="F757" s="3">
        <v>23980</v>
      </c>
      <c r="G757" s="7">
        <f t="shared" si="107"/>
        <v>1</v>
      </c>
      <c r="H757" s="5">
        <f t="shared" si="102"/>
        <v>5.3177106804867058E-3</v>
      </c>
      <c r="I757" s="4">
        <f t="shared" si="103"/>
        <v>-2.2888888888888889E-2</v>
      </c>
      <c r="J757" s="4">
        <f t="shared" si="104"/>
        <v>-1.6263736263736263E-2</v>
      </c>
      <c r="K757" s="4">
        <f t="shared" si="105"/>
        <v>-1.1373976342129207E-3</v>
      </c>
      <c r="L757" s="4">
        <f t="shared" si="106"/>
        <v>-8.9943074003795073E-2</v>
      </c>
      <c r="M757" s="3">
        <f t="shared" si="99"/>
        <v>9</v>
      </c>
      <c r="N757" s="3">
        <f t="shared" si="100"/>
        <v>14</v>
      </c>
      <c r="O757" s="3">
        <f t="shared" si="101"/>
        <v>3</v>
      </c>
    </row>
    <row r="758" spans="1:15" x14ac:dyDescent="0.2">
      <c r="A758" s="2">
        <v>44819</v>
      </c>
      <c r="B758" s="3">
        <v>22266</v>
      </c>
      <c r="C758" s="3">
        <v>22245</v>
      </c>
      <c r="D758" s="3">
        <v>22440</v>
      </c>
      <c r="E758" s="3">
        <v>22105</v>
      </c>
      <c r="F758" s="3">
        <v>19580</v>
      </c>
      <c r="G758" s="7">
        <f t="shared" si="107"/>
        <v>0</v>
      </c>
      <c r="H758" s="5">
        <f t="shared" si="102"/>
        <v>-1.8827326519634212E-3</v>
      </c>
      <c r="I758" s="4">
        <f t="shared" si="103"/>
        <v>1.1826245167159426E-2</v>
      </c>
      <c r="J758" s="4">
        <f t="shared" si="104"/>
        <v>2.6809651474530832E-3</v>
      </c>
      <c r="K758" s="4">
        <f t="shared" si="105"/>
        <v>6.8321566841266224E-3</v>
      </c>
      <c r="L758" s="4">
        <f t="shared" si="106"/>
        <v>-0.1834862385321101</v>
      </c>
      <c r="M758" s="3">
        <f t="shared" si="99"/>
        <v>9</v>
      </c>
      <c r="N758" s="3">
        <f t="shared" si="100"/>
        <v>15</v>
      </c>
      <c r="O758" s="3">
        <f t="shared" si="101"/>
        <v>4</v>
      </c>
    </row>
    <row r="759" spans="1:15" x14ac:dyDescent="0.2">
      <c r="A759" s="2">
        <v>44820</v>
      </c>
      <c r="B759" s="3">
        <v>21984</v>
      </c>
      <c r="C759" s="3">
        <v>22055</v>
      </c>
      <c r="D759" s="3">
        <v>22110</v>
      </c>
      <c r="E759" s="3">
        <v>21760</v>
      </c>
      <c r="F759" s="3">
        <v>25970</v>
      </c>
      <c r="G759" s="7">
        <f t="shared" si="107"/>
        <v>0</v>
      </c>
      <c r="H759" s="5">
        <f t="shared" si="102"/>
        <v>-1.266504985179197E-2</v>
      </c>
      <c r="I759" s="4">
        <f t="shared" si="103"/>
        <v>-8.5412452236457628E-3</v>
      </c>
      <c r="J759" s="4">
        <f t="shared" si="104"/>
        <v>-1.4705882352941176E-2</v>
      </c>
      <c r="K759" s="4">
        <f t="shared" si="105"/>
        <v>-1.5607328658674507E-2</v>
      </c>
      <c r="L759" s="4">
        <f t="shared" si="106"/>
        <v>0.32635342185903982</v>
      </c>
      <c r="M759" s="3">
        <f t="shared" si="99"/>
        <v>9</v>
      </c>
      <c r="N759" s="3">
        <f t="shared" si="100"/>
        <v>16</v>
      </c>
      <c r="O759" s="3">
        <f t="shared" si="101"/>
        <v>5</v>
      </c>
    </row>
    <row r="760" spans="1:15" x14ac:dyDescent="0.2">
      <c r="A760" s="2">
        <v>44823</v>
      </c>
      <c r="B760" s="3">
        <v>22084</v>
      </c>
      <c r="C760" s="3">
        <v>21795</v>
      </c>
      <c r="D760" s="3">
        <v>22185</v>
      </c>
      <c r="E760" s="3">
        <v>21770</v>
      </c>
      <c r="F760" s="3">
        <v>30</v>
      </c>
      <c r="G760" s="7">
        <f t="shared" si="107"/>
        <v>1</v>
      </c>
      <c r="H760" s="5">
        <f t="shared" si="102"/>
        <v>4.5487627365356619E-3</v>
      </c>
      <c r="I760" s="4">
        <f t="shared" si="103"/>
        <v>-1.1788710043074134E-2</v>
      </c>
      <c r="J760" s="4">
        <f t="shared" si="104"/>
        <v>3.3921302578018998E-3</v>
      </c>
      <c r="K760" s="4">
        <f t="shared" si="105"/>
        <v>4.5955882352941176E-4</v>
      </c>
      <c r="L760" s="4">
        <f t="shared" si="106"/>
        <v>-0.9988448209472468</v>
      </c>
      <c r="M760" s="3">
        <f t="shared" si="99"/>
        <v>9</v>
      </c>
      <c r="N760" s="3">
        <f t="shared" si="100"/>
        <v>19</v>
      </c>
      <c r="O760" s="3">
        <f t="shared" si="101"/>
        <v>1</v>
      </c>
    </row>
    <row r="761" spans="1:15" x14ac:dyDescent="0.2">
      <c r="A761" s="2">
        <v>44824</v>
      </c>
      <c r="B761" s="3">
        <v>21712</v>
      </c>
      <c r="C761" s="3">
        <v>22205</v>
      </c>
      <c r="D761" s="3">
        <v>22205</v>
      </c>
      <c r="E761" s="3">
        <v>21560</v>
      </c>
      <c r="F761" s="3">
        <v>30</v>
      </c>
      <c r="G761" s="7">
        <f t="shared" si="107"/>
        <v>0</v>
      </c>
      <c r="H761" s="5">
        <f t="shared" si="102"/>
        <v>-1.6844774497373663E-2</v>
      </c>
      <c r="I761" s="4">
        <f t="shared" si="103"/>
        <v>1.881165404909383E-2</v>
      </c>
      <c r="J761" s="4">
        <f t="shared" si="104"/>
        <v>9.0151002929907598E-4</v>
      </c>
      <c r="K761" s="4">
        <f t="shared" si="105"/>
        <v>-9.6463022508038593E-3</v>
      </c>
      <c r="L761" s="4">
        <f t="shared" si="106"/>
        <v>0</v>
      </c>
      <c r="M761" s="3">
        <f t="shared" si="99"/>
        <v>9</v>
      </c>
      <c r="N761" s="3">
        <f t="shared" si="100"/>
        <v>20</v>
      </c>
      <c r="O761" s="3">
        <f t="shared" si="101"/>
        <v>2</v>
      </c>
    </row>
    <row r="762" spans="1:15" x14ac:dyDescent="0.2">
      <c r="A762" s="2">
        <v>44825</v>
      </c>
      <c r="B762" s="3">
        <v>21960</v>
      </c>
      <c r="C762" s="3">
        <v>21580</v>
      </c>
      <c r="D762" s="3">
        <v>22035</v>
      </c>
      <c r="E762" s="3">
        <v>21580</v>
      </c>
      <c r="F762" s="3">
        <v>80</v>
      </c>
      <c r="G762" s="7">
        <f t="shared" si="107"/>
        <v>1</v>
      </c>
      <c r="H762" s="5">
        <f t="shared" si="102"/>
        <v>1.1422254974207811E-2</v>
      </c>
      <c r="I762" s="4">
        <f t="shared" si="103"/>
        <v>-2.8146813780680027E-2</v>
      </c>
      <c r="J762" s="4">
        <f t="shared" si="104"/>
        <v>-7.6559333483449676E-3</v>
      </c>
      <c r="K762" s="4">
        <f t="shared" si="105"/>
        <v>9.2764378478664194E-4</v>
      </c>
      <c r="L762" s="4">
        <f t="shared" si="106"/>
        <v>1.6666666666666667</v>
      </c>
      <c r="M762" s="3">
        <f t="shared" si="99"/>
        <v>9</v>
      </c>
      <c r="N762" s="3">
        <f t="shared" si="100"/>
        <v>21</v>
      </c>
      <c r="O762" s="3">
        <f t="shared" si="101"/>
        <v>3</v>
      </c>
    </row>
    <row r="763" spans="1:15" x14ac:dyDescent="0.2">
      <c r="A763" s="2">
        <v>44826</v>
      </c>
      <c r="B763" s="3">
        <v>21740</v>
      </c>
      <c r="C763" s="3">
        <v>21720</v>
      </c>
      <c r="D763" s="3">
        <v>22075</v>
      </c>
      <c r="E763" s="3">
        <v>21720</v>
      </c>
      <c r="F763" s="3">
        <v>50</v>
      </c>
      <c r="G763" s="7">
        <f t="shared" si="107"/>
        <v>0</v>
      </c>
      <c r="H763" s="5">
        <f t="shared" si="102"/>
        <v>-1.0018214936247723E-2</v>
      </c>
      <c r="I763" s="4">
        <f t="shared" si="103"/>
        <v>6.4874884151992582E-3</v>
      </c>
      <c r="J763" s="4">
        <f t="shared" si="104"/>
        <v>1.8152938506920807E-3</v>
      </c>
      <c r="K763" s="4">
        <f t="shared" si="105"/>
        <v>6.4874884151992582E-3</v>
      </c>
      <c r="L763" s="4">
        <f t="shared" si="106"/>
        <v>-0.375</v>
      </c>
      <c r="M763" s="3">
        <f t="shared" si="99"/>
        <v>9</v>
      </c>
      <c r="N763" s="3">
        <f t="shared" si="100"/>
        <v>22</v>
      </c>
      <c r="O763" s="3">
        <f t="shared" si="101"/>
        <v>4</v>
      </c>
    </row>
    <row r="764" spans="1:15" x14ac:dyDescent="0.2">
      <c r="A764" s="2">
        <v>44827</v>
      </c>
      <c r="B764" s="3">
        <v>21017</v>
      </c>
      <c r="C764" s="3">
        <v>21625</v>
      </c>
      <c r="D764" s="3">
        <v>21625</v>
      </c>
      <c r="E764" s="3">
        <v>21015</v>
      </c>
      <c r="F764" s="3">
        <v>30</v>
      </c>
      <c r="G764" s="7">
        <f t="shared" si="107"/>
        <v>0</v>
      </c>
      <c r="H764" s="5">
        <f t="shared" si="102"/>
        <v>-3.3256669733210668E-2</v>
      </c>
      <c r="I764" s="4">
        <f t="shared" si="103"/>
        <v>-4.3738489871086557E-3</v>
      </c>
      <c r="J764" s="4">
        <f t="shared" si="104"/>
        <v>-2.0385050962627407E-2</v>
      </c>
      <c r="K764" s="4">
        <f t="shared" si="105"/>
        <v>-3.2458563535911603E-2</v>
      </c>
      <c r="L764" s="4">
        <f t="shared" si="106"/>
        <v>-0.4</v>
      </c>
      <c r="M764" s="3">
        <f t="shared" si="99"/>
        <v>9</v>
      </c>
      <c r="N764" s="3">
        <f t="shared" si="100"/>
        <v>23</v>
      </c>
      <c r="O764" s="3">
        <f t="shared" si="101"/>
        <v>5</v>
      </c>
    </row>
    <row r="765" spans="1:15" x14ac:dyDescent="0.2">
      <c r="A765" s="2">
        <v>44830</v>
      </c>
      <c r="B765" s="3">
        <v>21174</v>
      </c>
      <c r="C765" s="3">
        <v>21265</v>
      </c>
      <c r="D765" s="3">
        <v>21300</v>
      </c>
      <c r="E765" s="3">
        <v>21075</v>
      </c>
      <c r="F765" s="3">
        <v>30</v>
      </c>
      <c r="G765" s="7">
        <f t="shared" si="107"/>
        <v>1</v>
      </c>
      <c r="H765" s="5">
        <f t="shared" si="102"/>
        <v>7.4701432173954422E-3</v>
      </c>
      <c r="I765" s="4">
        <f t="shared" si="103"/>
        <v>-1.6647398843930634E-2</v>
      </c>
      <c r="J765" s="4">
        <f t="shared" si="104"/>
        <v>-1.5028901734104046E-2</v>
      </c>
      <c r="K765" s="4">
        <f t="shared" si="105"/>
        <v>2.8551034975017845E-3</v>
      </c>
      <c r="L765" s="4">
        <f t="shared" si="106"/>
        <v>0</v>
      </c>
      <c r="M765" s="3">
        <f t="shared" si="99"/>
        <v>9</v>
      </c>
      <c r="N765" s="3">
        <f t="shared" si="100"/>
        <v>26</v>
      </c>
      <c r="O765" s="3">
        <f t="shared" si="101"/>
        <v>1</v>
      </c>
    </row>
    <row r="766" spans="1:15" x14ac:dyDescent="0.2">
      <c r="A766" s="2">
        <v>44831</v>
      </c>
      <c r="B766" s="3">
        <v>20941</v>
      </c>
      <c r="C766" s="3">
        <v>21290</v>
      </c>
      <c r="D766" s="3">
        <v>21410</v>
      </c>
      <c r="E766" s="3">
        <v>20710</v>
      </c>
      <c r="F766" s="3">
        <v>60</v>
      </c>
      <c r="G766" s="7">
        <f t="shared" si="107"/>
        <v>0</v>
      </c>
      <c r="H766" s="5">
        <f t="shared" si="102"/>
        <v>-1.100406158496269E-2</v>
      </c>
      <c r="I766" s="4">
        <f t="shared" si="103"/>
        <v>1.1756407241946861E-3</v>
      </c>
      <c r="J766" s="4">
        <f t="shared" si="104"/>
        <v>5.1643192488262908E-3</v>
      </c>
      <c r="K766" s="4">
        <f t="shared" si="105"/>
        <v>-1.7319098457888493E-2</v>
      </c>
      <c r="L766" s="4">
        <f t="shared" si="106"/>
        <v>1</v>
      </c>
      <c r="M766" s="3">
        <f t="shared" si="99"/>
        <v>9</v>
      </c>
      <c r="N766" s="3">
        <f t="shared" si="100"/>
        <v>27</v>
      </c>
      <c r="O766" s="3">
        <f t="shared" si="101"/>
        <v>2</v>
      </c>
    </row>
    <row r="767" spans="1:15" x14ac:dyDescent="0.2">
      <c r="A767" s="2">
        <v>44832</v>
      </c>
      <c r="B767" s="3">
        <v>20816</v>
      </c>
      <c r="C767" s="3">
        <v>20620</v>
      </c>
      <c r="D767" s="3">
        <v>21050</v>
      </c>
      <c r="E767" s="3">
        <v>20450</v>
      </c>
      <c r="F767" s="3">
        <v>70</v>
      </c>
      <c r="G767" s="7">
        <f t="shared" si="107"/>
        <v>0</v>
      </c>
      <c r="H767" s="5">
        <f t="shared" si="102"/>
        <v>-5.9691514254333602E-3</v>
      </c>
      <c r="I767" s="4">
        <f t="shared" si="103"/>
        <v>-3.1470173790511979E-2</v>
      </c>
      <c r="J767" s="4">
        <f t="shared" si="104"/>
        <v>-1.6814572629612331E-2</v>
      </c>
      <c r="K767" s="4">
        <f t="shared" si="105"/>
        <v>-1.2554321583775953E-2</v>
      </c>
      <c r="L767" s="4">
        <f t="shared" si="106"/>
        <v>0.16666666666666666</v>
      </c>
      <c r="M767" s="3">
        <f t="shared" si="99"/>
        <v>9</v>
      </c>
      <c r="N767" s="3">
        <f t="shared" si="100"/>
        <v>28</v>
      </c>
      <c r="O767" s="3">
        <f t="shared" si="101"/>
        <v>3</v>
      </c>
    </row>
    <row r="768" spans="1:15" x14ac:dyDescent="0.2">
      <c r="A768" s="2">
        <v>44833</v>
      </c>
      <c r="B768" s="3">
        <v>20286</v>
      </c>
      <c r="C768" s="3">
        <v>20785</v>
      </c>
      <c r="D768" s="3">
        <v>20785</v>
      </c>
      <c r="E768" s="3">
        <v>20200</v>
      </c>
      <c r="F768" s="3">
        <v>30</v>
      </c>
      <c r="G768" s="7">
        <f t="shared" si="107"/>
        <v>0</v>
      </c>
      <c r="H768" s="5">
        <f t="shared" si="102"/>
        <v>-2.5461183704842429E-2</v>
      </c>
      <c r="I768" s="4">
        <f t="shared" si="103"/>
        <v>8.0019398642095056E-3</v>
      </c>
      <c r="J768" s="4">
        <f t="shared" si="104"/>
        <v>-1.2589073634204275E-2</v>
      </c>
      <c r="K768" s="4">
        <f t="shared" si="105"/>
        <v>-1.2224938875305624E-2</v>
      </c>
      <c r="L768" s="4">
        <f t="shared" si="106"/>
        <v>-0.5714285714285714</v>
      </c>
      <c r="M768" s="3">
        <f t="shared" si="99"/>
        <v>9</v>
      </c>
      <c r="N768" s="3">
        <f t="shared" si="100"/>
        <v>29</v>
      </c>
      <c r="O768" s="3">
        <f t="shared" si="101"/>
        <v>4</v>
      </c>
    </row>
    <row r="769" spans="1:15" x14ac:dyDescent="0.2">
      <c r="A769" s="2">
        <v>44834</v>
      </c>
      <c r="B769" s="3">
        <v>20561</v>
      </c>
      <c r="C769" s="3">
        <v>20435</v>
      </c>
      <c r="D769" s="3">
        <v>20580</v>
      </c>
      <c r="E769" s="3">
        <v>20330</v>
      </c>
      <c r="F769" s="3">
        <v>60</v>
      </c>
      <c r="G769" s="7">
        <f t="shared" si="107"/>
        <v>1</v>
      </c>
      <c r="H769" s="5">
        <f t="shared" si="102"/>
        <v>1.3556147096519767E-2</v>
      </c>
      <c r="I769" s="4">
        <f t="shared" si="103"/>
        <v>-1.6839066634592254E-2</v>
      </c>
      <c r="J769" s="4">
        <f t="shared" si="104"/>
        <v>-9.8628818859754636E-3</v>
      </c>
      <c r="K769" s="4">
        <f t="shared" si="105"/>
        <v>6.4356435643564353E-3</v>
      </c>
      <c r="L769" s="4">
        <f t="shared" si="106"/>
        <v>1</v>
      </c>
      <c r="M769" s="3">
        <f t="shared" si="99"/>
        <v>9</v>
      </c>
      <c r="N769" s="3">
        <f t="shared" si="100"/>
        <v>30</v>
      </c>
      <c r="O769" s="3">
        <f t="shared" si="101"/>
        <v>5</v>
      </c>
    </row>
    <row r="770" spans="1:15" x14ac:dyDescent="0.2">
      <c r="A770" s="2">
        <v>44837</v>
      </c>
      <c r="B770" s="3">
        <v>20866</v>
      </c>
      <c r="C770" s="3">
        <v>20430</v>
      </c>
      <c r="D770" s="3">
        <v>20880</v>
      </c>
      <c r="E770" s="3">
        <v>20295</v>
      </c>
      <c r="F770" s="3">
        <v>20</v>
      </c>
      <c r="G770" s="7">
        <f t="shared" si="107"/>
        <v>1</v>
      </c>
      <c r="H770" s="5">
        <f t="shared" si="102"/>
        <v>1.4833908856573123E-2</v>
      </c>
      <c r="I770" s="4">
        <f t="shared" si="103"/>
        <v>-2.4467824810374357E-4</v>
      </c>
      <c r="J770" s="4">
        <f t="shared" si="104"/>
        <v>1.4577259475218658E-2</v>
      </c>
      <c r="K770" s="4">
        <f t="shared" si="105"/>
        <v>-1.721593703885883E-3</v>
      </c>
      <c r="L770" s="4">
        <f t="shared" si="106"/>
        <v>-0.66666666666666663</v>
      </c>
      <c r="M770" s="3">
        <f t="shared" ref="M770:M833" si="108">MONTH(A770)</f>
        <v>10</v>
      </c>
      <c r="N770" s="3">
        <f t="shared" ref="N770:N833" si="109">DAY(A770)</f>
        <v>3</v>
      </c>
      <c r="O770" s="3">
        <f t="shared" ref="O770:O833" si="110">WEEKDAY(A770,2)</f>
        <v>1</v>
      </c>
    </row>
    <row r="771" spans="1:15" x14ac:dyDescent="0.2">
      <c r="A771" s="2">
        <v>44838</v>
      </c>
      <c r="B771" s="3">
        <v>21568</v>
      </c>
      <c r="C771" s="3">
        <v>21285</v>
      </c>
      <c r="D771" s="3">
        <v>21560</v>
      </c>
      <c r="E771" s="3">
        <v>21285</v>
      </c>
      <c r="F771" s="3">
        <v>30</v>
      </c>
      <c r="G771" s="7">
        <f t="shared" si="107"/>
        <v>1</v>
      </c>
      <c r="H771" s="5">
        <f t="shared" ref="H771:H834" si="111">(B771-B770)/B770</f>
        <v>3.3643247388095467E-2</v>
      </c>
      <c r="I771" s="4">
        <f t="shared" ref="I771:I834" si="112">(C771-C770)/C770</f>
        <v>4.185022026431718E-2</v>
      </c>
      <c r="J771" s="4">
        <f t="shared" ref="J771:J834" si="113">(D771-D770)/D770</f>
        <v>3.2567049808429116E-2</v>
      </c>
      <c r="K771" s="4">
        <f t="shared" ref="K771:K834" si="114">(E771-E770)/E770</f>
        <v>4.878048780487805E-2</v>
      </c>
      <c r="L771" s="4">
        <f t="shared" ref="L771:L834" si="115">(F771-F770)/F770</f>
        <v>0.5</v>
      </c>
      <c r="M771" s="3">
        <f t="shared" si="108"/>
        <v>10</v>
      </c>
      <c r="N771" s="3">
        <f t="shared" si="109"/>
        <v>4</v>
      </c>
      <c r="O771" s="3">
        <f t="shared" si="110"/>
        <v>2</v>
      </c>
    </row>
    <row r="772" spans="1:15" x14ac:dyDescent="0.2">
      <c r="A772" s="2">
        <v>44839</v>
      </c>
      <c r="B772" s="3">
        <v>21258</v>
      </c>
      <c r="C772" s="3">
        <v>21395</v>
      </c>
      <c r="D772" s="3">
        <v>21425</v>
      </c>
      <c r="E772" s="3">
        <v>21135</v>
      </c>
      <c r="F772" s="3">
        <v>30</v>
      </c>
      <c r="G772" s="7">
        <f t="shared" ref="G772:G835" si="116">IF(H772&lt;0, 0, 1)</f>
        <v>0</v>
      </c>
      <c r="H772" s="5">
        <f t="shared" si="111"/>
        <v>-1.4373145400593472E-2</v>
      </c>
      <c r="I772" s="4">
        <f t="shared" si="112"/>
        <v>5.1679586563307496E-3</v>
      </c>
      <c r="J772" s="4">
        <f t="shared" si="113"/>
        <v>-6.2615955473098329E-3</v>
      </c>
      <c r="K772" s="4">
        <f t="shared" si="114"/>
        <v>-7.0472163495419312E-3</v>
      </c>
      <c r="L772" s="4">
        <f t="shared" si="115"/>
        <v>0</v>
      </c>
      <c r="M772" s="3">
        <f t="shared" si="108"/>
        <v>10</v>
      </c>
      <c r="N772" s="3">
        <f t="shared" si="109"/>
        <v>5</v>
      </c>
      <c r="O772" s="3">
        <f t="shared" si="110"/>
        <v>3</v>
      </c>
    </row>
    <row r="773" spans="1:15" x14ac:dyDescent="0.2">
      <c r="A773" s="2">
        <v>44840</v>
      </c>
      <c r="B773" s="3">
        <v>21086</v>
      </c>
      <c r="C773" s="3">
        <v>21420</v>
      </c>
      <c r="D773" s="3">
        <v>21420</v>
      </c>
      <c r="E773" s="3">
        <v>21025</v>
      </c>
      <c r="F773" s="3">
        <v>20</v>
      </c>
      <c r="G773" s="7">
        <f t="shared" si="116"/>
        <v>0</v>
      </c>
      <c r="H773" s="5">
        <f t="shared" si="111"/>
        <v>-8.0910715965754072E-3</v>
      </c>
      <c r="I773" s="4">
        <f t="shared" si="112"/>
        <v>1.1684973124561813E-3</v>
      </c>
      <c r="J773" s="4">
        <f t="shared" si="113"/>
        <v>-2.3337222870478414E-4</v>
      </c>
      <c r="K773" s="4">
        <f t="shared" si="114"/>
        <v>-5.2046368582919326E-3</v>
      </c>
      <c r="L773" s="4">
        <f t="shared" si="115"/>
        <v>-0.33333333333333331</v>
      </c>
      <c r="M773" s="3">
        <f t="shared" si="108"/>
        <v>10</v>
      </c>
      <c r="N773" s="3">
        <f t="shared" si="109"/>
        <v>6</v>
      </c>
      <c r="O773" s="3">
        <f t="shared" si="110"/>
        <v>4</v>
      </c>
    </row>
    <row r="774" spans="1:15" x14ac:dyDescent="0.2">
      <c r="A774" s="2">
        <v>44841</v>
      </c>
      <c r="B774" s="3">
        <v>20833</v>
      </c>
      <c r="C774" s="3">
        <v>21110</v>
      </c>
      <c r="D774" s="3">
        <v>21125</v>
      </c>
      <c r="E774" s="3">
        <v>20730</v>
      </c>
      <c r="F774" s="3">
        <v>10</v>
      </c>
      <c r="G774" s="7">
        <f t="shared" si="116"/>
        <v>0</v>
      </c>
      <c r="H774" s="5">
        <f t="shared" si="111"/>
        <v>-1.1998482405387461E-2</v>
      </c>
      <c r="I774" s="4">
        <f t="shared" si="112"/>
        <v>-1.4472455648926238E-2</v>
      </c>
      <c r="J774" s="4">
        <f t="shared" si="113"/>
        <v>-1.3772175536881419E-2</v>
      </c>
      <c r="K774" s="4">
        <f t="shared" si="114"/>
        <v>-1.4030915576694411E-2</v>
      </c>
      <c r="L774" s="4">
        <f t="shared" si="115"/>
        <v>-0.5</v>
      </c>
      <c r="M774" s="3">
        <f t="shared" si="108"/>
        <v>10</v>
      </c>
      <c r="N774" s="3">
        <f t="shared" si="109"/>
        <v>7</v>
      </c>
      <c r="O774" s="3">
        <f t="shared" si="110"/>
        <v>5</v>
      </c>
    </row>
    <row r="775" spans="1:15" x14ac:dyDescent="0.2">
      <c r="A775" s="2">
        <v>44844</v>
      </c>
      <c r="B775" s="3">
        <v>20848</v>
      </c>
      <c r="C775" s="3">
        <v>20800</v>
      </c>
      <c r="D775" s="3">
        <v>20825</v>
      </c>
      <c r="E775" s="3">
        <v>20800</v>
      </c>
      <c r="F775" s="3">
        <v>10</v>
      </c>
      <c r="G775" s="7">
        <f t="shared" si="116"/>
        <v>1</v>
      </c>
      <c r="H775" s="5">
        <f t="shared" si="111"/>
        <v>7.2001152018432292E-4</v>
      </c>
      <c r="I775" s="4">
        <f t="shared" si="112"/>
        <v>-1.4684983420180009E-2</v>
      </c>
      <c r="J775" s="4">
        <f t="shared" si="113"/>
        <v>-1.4201183431952662E-2</v>
      </c>
      <c r="K775" s="4">
        <f t="shared" si="114"/>
        <v>3.376748673420164E-3</v>
      </c>
      <c r="L775" s="4">
        <f t="shared" si="115"/>
        <v>0</v>
      </c>
      <c r="M775" s="3">
        <f t="shared" si="108"/>
        <v>10</v>
      </c>
      <c r="N775" s="3">
        <f t="shared" si="109"/>
        <v>10</v>
      </c>
      <c r="O775" s="3">
        <f t="shared" si="110"/>
        <v>1</v>
      </c>
    </row>
    <row r="776" spans="1:15" x14ac:dyDescent="0.2">
      <c r="A776" s="2">
        <v>44845</v>
      </c>
      <c r="B776" s="3">
        <v>20650</v>
      </c>
      <c r="C776" s="3">
        <v>20575</v>
      </c>
      <c r="D776" s="3">
        <v>20665</v>
      </c>
      <c r="E776" s="3">
        <v>20460</v>
      </c>
      <c r="F776" s="3">
        <v>20</v>
      </c>
      <c r="G776" s="7">
        <f t="shared" si="116"/>
        <v>0</v>
      </c>
      <c r="H776" s="5">
        <f t="shared" si="111"/>
        <v>-9.497313891020721E-3</v>
      </c>
      <c r="I776" s="4">
        <f t="shared" si="112"/>
        <v>-1.0817307692307692E-2</v>
      </c>
      <c r="J776" s="4">
        <f t="shared" si="113"/>
        <v>-7.683073229291717E-3</v>
      </c>
      <c r="K776" s="4">
        <f t="shared" si="114"/>
        <v>-1.6346153846153847E-2</v>
      </c>
      <c r="L776" s="4">
        <f t="shared" si="115"/>
        <v>1</v>
      </c>
      <c r="M776" s="3">
        <f t="shared" si="108"/>
        <v>10</v>
      </c>
      <c r="N776" s="3">
        <f t="shared" si="109"/>
        <v>11</v>
      </c>
      <c r="O776" s="3">
        <f t="shared" si="110"/>
        <v>2</v>
      </c>
    </row>
    <row r="777" spans="1:15" x14ac:dyDescent="0.2">
      <c r="A777" s="2">
        <v>44846</v>
      </c>
      <c r="B777" s="3">
        <v>20420</v>
      </c>
      <c r="C777" s="3">
        <v>20710</v>
      </c>
      <c r="D777" s="3">
        <v>20710</v>
      </c>
      <c r="E777" s="3">
        <v>20350</v>
      </c>
      <c r="F777" s="3">
        <v>40</v>
      </c>
      <c r="G777" s="7">
        <f t="shared" si="116"/>
        <v>0</v>
      </c>
      <c r="H777" s="5">
        <f t="shared" si="111"/>
        <v>-1.1138014527845037E-2</v>
      </c>
      <c r="I777" s="4">
        <f t="shared" si="112"/>
        <v>6.5613608748481163E-3</v>
      </c>
      <c r="J777" s="4">
        <f t="shared" si="113"/>
        <v>2.1775949673360755E-3</v>
      </c>
      <c r="K777" s="4">
        <f t="shared" si="114"/>
        <v>-5.3763440860215058E-3</v>
      </c>
      <c r="L777" s="4">
        <f t="shared" si="115"/>
        <v>1</v>
      </c>
      <c r="M777" s="3">
        <f t="shared" si="108"/>
        <v>10</v>
      </c>
      <c r="N777" s="3">
        <f t="shared" si="109"/>
        <v>12</v>
      </c>
      <c r="O777" s="3">
        <f t="shared" si="110"/>
        <v>3</v>
      </c>
    </row>
    <row r="778" spans="1:15" x14ac:dyDescent="0.2">
      <c r="A778" s="2">
        <v>44847</v>
      </c>
      <c r="B778" s="3">
        <v>20699</v>
      </c>
      <c r="C778" s="3">
        <v>20330</v>
      </c>
      <c r="D778" s="3">
        <v>20910</v>
      </c>
      <c r="E778" s="3">
        <v>20130</v>
      </c>
      <c r="F778" s="3">
        <v>20</v>
      </c>
      <c r="G778" s="7">
        <f t="shared" si="116"/>
        <v>1</v>
      </c>
      <c r="H778" s="5">
        <f t="shared" si="111"/>
        <v>1.3663075416258569E-2</v>
      </c>
      <c r="I778" s="4">
        <f t="shared" si="112"/>
        <v>-1.834862385321101E-2</v>
      </c>
      <c r="J778" s="4">
        <f t="shared" si="113"/>
        <v>9.6571704490584255E-3</v>
      </c>
      <c r="K778" s="4">
        <f t="shared" si="114"/>
        <v>-1.0810810810810811E-2</v>
      </c>
      <c r="L778" s="4">
        <f t="shared" si="115"/>
        <v>-0.5</v>
      </c>
      <c r="M778" s="3">
        <f t="shared" si="108"/>
        <v>10</v>
      </c>
      <c r="N778" s="3">
        <f t="shared" si="109"/>
        <v>13</v>
      </c>
      <c r="O778" s="3">
        <f t="shared" si="110"/>
        <v>4</v>
      </c>
    </row>
    <row r="779" spans="1:15" x14ac:dyDescent="0.2">
      <c r="A779" s="2">
        <v>44848</v>
      </c>
      <c r="B779" s="3">
        <v>20887</v>
      </c>
      <c r="C779" s="3">
        <v>21200</v>
      </c>
      <c r="D779" s="3">
        <v>21230</v>
      </c>
      <c r="E779" s="3">
        <v>21200</v>
      </c>
      <c r="F779" s="3">
        <v>10</v>
      </c>
      <c r="G779" s="7">
        <f t="shared" si="116"/>
        <v>1</v>
      </c>
      <c r="H779" s="5">
        <f t="shared" si="111"/>
        <v>9.0825643750905849E-3</v>
      </c>
      <c r="I779" s="4">
        <f t="shared" si="112"/>
        <v>4.2793900639449087E-2</v>
      </c>
      <c r="J779" s="4">
        <f t="shared" si="113"/>
        <v>1.5303682448589193E-2</v>
      </c>
      <c r="K779" s="4">
        <f t="shared" si="114"/>
        <v>5.3154495777446596E-2</v>
      </c>
      <c r="L779" s="4">
        <f t="shared" si="115"/>
        <v>-0.5</v>
      </c>
      <c r="M779" s="3">
        <f t="shared" si="108"/>
        <v>10</v>
      </c>
      <c r="N779" s="3">
        <f t="shared" si="109"/>
        <v>14</v>
      </c>
      <c r="O779" s="3">
        <f t="shared" si="110"/>
        <v>5</v>
      </c>
    </row>
    <row r="780" spans="1:15" x14ac:dyDescent="0.2">
      <c r="A780" s="2">
        <v>44851</v>
      </c>
      <c r="B780" s="3">
        <v>21243</v>
      </c>
      <c r="C780" s="3">
        <v>20950</v>
      </c>
      <c r="D780" s="3">
        <v>21285</v>
      </c>
      <c r="E780" s="3">
        <v>20940</v>
      </c>
      <c r="F780" s="3">
        <v>10</v>
      </c>
      <c r="G780" s="7">
        <f t="shared" si="116"/>
        <v>1</v>
      </c>
      <c r="H780" s="5">
        <f t="shared" si="111"/>
        <v>1.7044094412792647E-2</v>
      </c>
      <c r="I780" s="4">
        <f t="shared" si="112"/>
        <v>-1.179245283018868E-2</v>
      </c>
      <c r="J780" s="4">
        <f t="shared" si="113"/>
        <v>2.5906735751295338E-3</v>
      </c>
      <c r="K780" s="4">
        <f t="shared" si="114"/>
        <v>-1.2264150943396227E-2</v>
      </c>
      <c r="L780" s="4">
        <f t="shared" si="115"/>
        <v>0</v>
      </c>
      <c r="M780" s="3">
        <f t="shared" si="108"/>
        <v>10</v>
      </c>
      <c r="N780" s="3">
        <f t="shared" si="109"/>
        <v>17</v>
      </c>
      <c r="O780" s="3">
        <f t="shared" si="110"/>
        <v>1</v>
      </c>
    </row>
    <row r="781" spans="1:15" x14ac:dyDescent="0.2">
      <c r="A781" s="2">
        <v>44852</v>
      </c>
      <c r="B781" s="3">
        <v>21447</v>
      </c>
      <c r="C781" s="3">
        <v>21425</v>
      </c>
      <c r="D781" s="3">
        <v>21730</v>
      </c>
      <c r="E781" s="3">
        <v>21425</v>
      </c>
      <c r="F781" s="3">
        <v>30</v>
      </c>
      <c r="G781" s="7">
        <f t="shared" si="116"/>
        <v>1</v>
      </c>
      <c r="H781" s="5">
        <f t="shared" si="111"/>
        <v>9.6031633950007054E-3</v>
      </c>
      <c r="I781" s="4">
        <f t="shared" si="112"/>
        <v>2.2673031026252982E-2</v>
      </c>
      <c r="J781" s="4">
        <f t="shared" si="113"/>
        <v>2.0906741836974396E-2</v>
      </c>
      <c r="K781" s="4">
        <f t="shared" si="114"/>
        <v>2.3161413562559695E-2</v>
      </c>
      <c r="L781" s="4">
        <f t="shared" si="115"/>
        <v>2</v>
      </c>
      <c r="M781" s="3">
        <f t="shared" si="108"/>
        <v>10</v>
      </c>
      <c r="N781" s="3">
        <f t="shared" si="109"/>
        <v>18</v>
      </c>
      <c r="O781" s="3">
        <f t="shared" si="110"/>
        <v>2</v>
      </c>
    </row>
    <row r="782" spans="1:15" x14ac:dyDescent="0.2">
      <c r="A782" s="2">
        <v>44853</v>
      </c>
      <c r="B782" s="3">
        <v>21399</v>
      </c>
      <c r="C782" s="3">
        <v>21450</v>
      </c>
      <c r="D782" s="3">
        <v>21455</v>
      </c>
      <c r="E782" s="3">
        <v>21295</v>
      </c>
      <c r="F782" s="3">
        <v>10</v>
      </c>
      <c r="G782" s="7">
        <f t="shared" si="116"/>
        <v>0</v>
      </c>
      <c r="H782" s="5">
        <f t="shared" si="111"/>
        <v>-2.2380752552804586E-3</v>
      </c>
      <c r="I782" s="4">
        <f t="shared" si="112"/>
        <v>1.1668611435239206E-3</v>
      </c>
      <c r="J782" s="4">
        <f t="shared" si="113"/>
        <v>-1.2655315232397607E-2</v>
      </c>
      <c r="K782" s="4">
        <f t="shared" si="114"/>
        <v>-6.0676779463243874E-3</v>
      </c>
      <c r="L782" s="4">
        <f t="shared" si="115"/>
        <v>-0.66666666666666663</v>
      </c>
      <c r="M782" s="3">
        <f t="shared" si="108"/>
        <v>10</v>
      </c>
      <c r="N782" s="3">
        <f t="shared" si="109"/>
        <v>19</v>
      </c>
      <c r="O782" s="3">
        <f t="shared" si="110"/>
        <v>3</v>
      </c>
    </row>
    <row r="783" spans="1:15" x14ac:dyDescent="0.2">
      <c r="A783" s="2">
        <v>44854</v>
      </c>
      <c r="B783" s="3">
        <v>21611</v>
      </c>
      <c r="C783" s="3">
        <v>21365</v>
      </c>
      <c r="D783" s="3">
        <v>21670</v>
      </c>
      <c r="E783" s="3">
        <v>21325</v>
      </c>
      <c r="F783" s="3">
        <v>20</v>
      </c>
      <c r="G783" s="7">
        <f t="shared" si="116"/>
        <v>1</v>
      </c>
      <c r="H783" s="5">
        <f t="shared" si="111"/>
        <v>9.9070050002336551E-3</v>
      </c>
      <c r="I783" s="4">
        <f t="shared" si="112"/>
        <v>-3.9627039627039631E-3</v>
      </c>
      <c r="J783" s="4">
        <f t="shared" si="113"/>
        <v>1.0020974131903984E-2</v>
      </c>
      <c r="K783" s="4">
        <f t="shared" si="114"/>
        <v>1.4087814040854661E-3</v>
      </c>
      <c r="L783" s="4">
        <f t="shared" si="115"/>
        <v>1</v>
      </c>
      <c r="M783" s="3">
        <f t="shared" si="108"/>
        <v>10</v>
      </c>
      <c r="N783" s="3">
        <f t="shared" si="109"/>
        <v>20</v>
      </c>
      <c r="O783" s="3">
        <f t="shared" si="110"/>
        <v>4</v>
      </c>
    </row>
    <row r="784" spans="1:15" x14ac:dyDescent="0.2">
      <c r="A784" s="2">
        <v>44855</v>
      </c>
      <c r="B784" s="3">
        <v>21498</v>
      </c>
      <c r="C784" s="3">
        <v>21255</v>
      </c>
      <c r="D784" s="3">
        <v>21700</v>
      </c>
      <c r="E784" s="3">
        <v>21210</v>
      </c>
      <c r="F784" s="3">
        <v>10</v>
      </c>
      <c r="G784" s="7">
        <f t="shared" si="116"/>
        <v>0</v>
      </c>
      <c r="H784" s="5">
        <f t="shared" si="111"/>
        <v>-5.2288186571653322E-3</v>
      </c>
      <c r="I784" s="4">
        <f t="shared" si="112"/>
        <v>-5.1486075356892112E-3</v>
      </c>
      <c r="J784" s="4">
        <f t="shared" si="113"/>
        <v>1.3844023996308261E-3</v>
      </c>
      <c r="K784" s="4">
        <f t="shared" si="114"/>
        <v>-5.3927315357561552E-3</v>
      </c>
      <c r="L784" s="4">
        <f t="shared" si="115"/>
        <v>-0.5</v>
      </c>
      <c r="M784" s="3">
        <f t="shared" si="108"/>
        <v>10</v>
      </c>
      <c r="N784" s="3">
        <f t="shared" si="109"/>
        <v>21</v>
      </c>
      <c r="O784" s="3">
        <f t="shared" si="110"/>
        <v>5</v>
      </c>
    </row>
    <row r="785" spans="1:15" x14ac:dyDescent="0.2">
      <c r="A785" s="2">
        <v>44858</v>
      </c>
      <c r="B785" s="3">
        <v>21928</v>
      </c>
      <c r="C785" s="3">
        <v>21610</v>
      </c>
      <c r="D785" s="3">
        <v>21995</v>
      </c>
      <c r="E785" s="3">
        <v>21570</v>
      </c>
      <c r="F785" s="3">
        <v>40</v>
      </c>
      <c r="G785" s="7">
        <f t="shared" si="116"/>
        <v>1</v>
      </c>
      <c r="H785" s="5">
        <f t="shared" si="111"/>
        <v>2.0001860638198903E-2</v>
      </c>
      <c r="I785" s="4">
        <f t="shared" si="112"/>
        <v>1.6701952481768995E-2</v>
      </c>
      <c r="J785" s="4">
        <f t="shared" si="113"/>
        <v>1.3594470046082949E-2</v>
      </c>
      <c r="K785" s="4">
        <f t="shared" si="114"/>
        <v>1.6973125884016973E-2</v>
      </c>
      <c r="L785" s="4">
        <f t="shared" si="115"/>
        <v>3</v>
      </c>
      <c r="M785" s="3">
        <f t="shared" si="108"/>
        <v>10</v>
      </c>
      <c r="N785" s="3">
        <f t="shared" si="109"/>
        <v>24</v>
      </c>
      <c r="O785" s="3">
        <f t="shared" si="110"/>
        <v>1</v>
      </c>
    </row>
    <row r="786" spans="1:15" x14ac:dyDescent="0.2">
      <c r="A786" s="2">
        <v>44859</v>
      </c>
      <c r="B786" s="3">
        <v>22209</v>
      </c>
      <c r="C786" s="3">
        <v>22050</v>
      </c>
      <c r="D786" s="3">
        <v>22225</v>
      </c>
      <c r="E786" s="3">
        <v>21815</v>
      </c>
      <c r="F786" s="3">
        <v>50</v>
      </c>
      <c r="G786" s="7">
        <f t="shared" si="116"/>
        <v>1</v>
      </c>
      <c r="H786" s="5">
        <f t="shared" si="111"/>
        <v>1.2814666180226196E-2</v>
      </c>
      <c r="I786" s="4">
        <f t="shared" si="112"/>
        <v>2.0360944007403979E-2</v>
      </c>
      <c r="J786" s="4">
        <f t="shared" si="113"/>
        <v>1.0456922027733576E-2</v>
      </c>
      <c r="K786" s="4">
        <f t="shared" si="114"/>
        <v>1.1358368103847936E-2</v>
      </c>
      <c r="L786" s="4">
        <f t="shared" si="115"/>
        <v>0.25</v>
      </c>
      <c r="M786" s="3">
        <f t="shared" si="108"/>
        <v>10</v>
      </c>
      <c r="N786" s="3">
        <f t="shared" si="109"/>
        <v>25</v>
      </c>
      <c r="O786" s="3">
        <f t="shared" si="110"/>
        <v>2</v>
      </c>
    </row>
    <row r="787" spans="1:15" x14ac:dyDescent="0.2">
      <c r="A787" s="2">
        <v>44860</v>
      </c>
      <c r="B787" s="3">
        <v>22330</v>
      </c>
      <c r="C787" s="3">
        <v>22095</v>
      </c>
      <c r="D787" s="3">
        <v>22330</v>
      </c>
      <c r="E787" s="3">
        <v>22080</v>
      </c>
      <c r="F787" s="3">
        <v>20</v>
      </c>
      <c r="G787" s="7">
        <f t="shared" si="116"/>
        <v>1</v>
      </c>
      <c r="H787" s="5">
        <f t="shared" si="111"/>
        <v>5.4482417038137689E-3</v>
      </c>
      <c r="I787" s="4">
        <f t="shared" si="112"/>
        <v>2.0408163265306124E-3</v>
      </c>
      <c r="J787" s="4">
        <f t="shared" si="113"/>
        <v>4.7244094488188976E-3</v>
      </c>
      <c r="K787" s="4">
        <f t="shared" si="114"/>
        <v>1.2147604859041943E-2</v>
      </c>
      <c r="L787" s="4">
        <f t="shared" si="115"/>
        <v>-0.6</v>
      </c>
      <c r="M787" s="3">
        <f t="shared" si="108"/>
        <v>10</v>
      </c>
      <c r="N787" s="3">
        <f t="shared" si="109"/>
        <v>26</v>
      </c>
      <c r="O787" s="3">
        <f t="shared" si="110"/>
        <v>3</v>
      </c>
    </row>
    <row r="788" spans="1:15" x14ac:dyDescent="0.2">
      <c r="A788" s="2">
        <v>44861</v>
      </c>
      <c r="B788" s="3">
        <v>22523</v>
      </c>
      <c r="C788" s="3">
        <v>22260</v>
      </c>
      <c r="D788" s="3">
        <v>22565</v>
      </c>
      <c r="E788" s="3">
        <v>22165</v>
      </c>
      <c r="F788" s="3">
        <v>30</v>
      </c>
      <c r="G788" s="7">
        <f t="shared" si="116"/>
        <v>1</v>
      </c>
      <c r="H788" s="5">
        <f t="shared" si="111"/>
        <v>8.6430810568741603E-3</v>
      </c>
      <c r="I788" s="4">
        <f t="shared" si="112"/>
        <v>7.4677528852681602E-3</v>
      </c>
      <c r="J788" s="4">
        <f t="shared" si="113"/>
        <v>1.0523958799820869E-2</v>
      </c>
      <c r="K788" s="4">
        <f t="shared" si="114"/>
        <v>3.8496376811594205E-3</v>
      </c>
      <c r="L788" s="4">
        <f t="shared" si="115"/>
        <v>0.5</v>
      </c>
      <c r="M788" s="3">
        <f t="shared" si="108"/>
        <v>10</v>
      </c>
      <c r="N788" s="3">
        <f t="shared" si="109"/>
        <v>27</v>
      </c>
      <c r="O788" s="3">
        <f t="shared" si="110"/>
        <v>4</v>
      </c>
    </row>
    <row r="789" spans="1:15" x14ac:dyDescent="0.2">
      <c r="A789" s="2">
        <v>44862</v>
      </c>
      <c r="B789" s="3">
        <v>22473</v>
      </c>
      <c r="C789" s="3">
        <v>22330</v>
      </c>
      <c r="D789" s="3">
        <v>22590</v>
      </c>
      <c r="E789" s="3">
        <v>22260</v>
      </c>
      <c r="F789" s="3">
        <v>10</v>
      </c>
      <c r="G789" s="7">
        <f t="shared" si="116"/>
        <v>0</v>
      </c>
      <c r="H789" s="5">
        <f t="shared" si="111"/>
        <v>-2.2199529369977358E-3</v>
      </c>
      <c r="I789" s="4">
        <f t="shared" si="112"/>
        <v>3.1446540880503146E-3</v>
      </c>
      <c r="J789" s="4">
        <f t="shared" si="113"/>
        <v>1.1079104808331486E-3</v>
      </c>
      <c r="K789" s="4">
        <f t="shared" si="114"/>
        <v>4.2860365441010602E-3</v>
      </c>
      <c r="L789" s="4">
        <f t="shared" si="115"/>
        <v>-0.66666666666666663</v>
      </c>
      <c r="M789" s="3">
        <f t="shared" si="108"/>
        <v>10</v>
      </c>
      <c r="N789" s="3">
        <f t="shared" si="109"/>
        <v>28</v>
      </c>
      <c r="O789" s="3">
        <f t="shared" si="110"/>
        <v>5</v>
      </c>
    </row>
    <row r="790" spans="1:15" x14ac:dyDescent="0.2">
      <c r="A790" s="2">
        <v>44865</v>
      </c>
      <c r="B790" s="3">
        <v>22575</v>
      </c>
      <c r="C790" s="3">
        <v>22515</v>
      </c>
      <c r="D790" s="3">
        <v>22640</v>
      </c>
      <c r="E790" s="3">
        <v>22500</v>
      </c>
      <c r="F790" s="3">
        <v>20</v>
      </c>
      <c r="G790" s="7">
        <f t="shared" si="116"/>
        <v>1</v>
      </c>
      <c r="H790" s="5">
        <f t="shared" si="111"/>
        <v>4.5387798691763452E-3</v>
      </c>
      <c r="I790" s="4">
        <f t="shared" si="112"/>
        <v>8.2848186296462165E-3</v>
      </c>
      <c r="J790" s="4">
        <f t="shared" si="113"/>
        <v>2.213368747233289E-3</v>
      </c>
      <c r="K790" s="4">
        <f t="shared" si="114"/>
        <v>1.078167115902965E-2</v>
      </c>
      <c r="L790" s="4">
        <f t="shared" si="115"/>
        <v>1</v>
      </c>
      <c r="M790" s="3">
        <f t="shared" si="108"/>
        <v>10</v>
      </c>
      <c r="N790" s="3">
        <f t="shared" si="109"/>
        <v>31</v>
      </c>
      <c r="O790" s="3">
        <f t="shared" si="110"/>
        <v>1</v>
      </c>
    </row>
    <row r="791" spans="1:15" x14ac:dyDescent="0.2">
      <c r="A791" s="2">
        <v>44866</v>
      </c>
      <c r="B791" s="3">
        <v>22709</v>
      </c>
      <c r="C791" s="3">
        <v>22850</v>
      </c>
      <c r="D791" s="3">
        <v>23010</v>
      </c>
      <c r="E791" s="3">
        <v>22670</v>
      </c>
      <c r="F791" s="3">
        <v>30</v>
      </c>
      <c r="G791" s="7">
        <f t="shared" si="116"/>
        <v>1</v>
      </c>
      <c r="H791" s="5">
        <f t="shared" si="111"/>
        <v>5.9357696566998894E-3</v>
      </c>
      <c r="I791" s="4">
        <f t="shared" si="112"/>
        <v>1.4878969575838331E-2</v>
      </c>
      <c r="J791" s="4">
        <f t="shared" si="113"/>
        <v>1.6342756183745585E-2</v>
      </c>
      <c r="K791" s="4">
        <f t="shared" si="114"/>
        <v>7.5555555555555558E-3</v>
      </c>
      <c r="L791" s="4">
        <f t="shared" si="115"/>
        <v>0.5</v>
      </c>
      <c r="M791" s="3">
        <f t="shared" si="108"/>
        <v>11</v>
      </c>
      <c r="N791" s="3">
        <f t="shared" si="109"/>
        <v>1</v>
      </c>
      <c r="O791" s="3">
        <f t="shared" si="110"/>
        <v>2</v>
      </c>
    </row>
    <row r="792" spans="1:15" x14ac:dyDescent="0.2">
      <c r="A792" s="2">
        <v>44867</v>
      </c>
      <c r="B792" s="3">
        <v>22741</v>
      </c>
      <c r="C792" s="3">
        <v>22895</v>
      </c>
      <c r="D792" s="3">
        <v>22900</v>
      </c>
      <c r="E792" s="3">
        <v>22775</v>
      </c>
      <c r="F792" s="3">
        <v>10</v>
      </c>
      <c r="G792" s="7">
        <f t="shared" si="116"/>
        <v>1</v>
      </c>
      <c r="H792" s="5">
        <f t="shared" si="111"/>
        <v>1.4091329428860804E-3</v>
      </c>
      <c r="I792" s="4">
        <f t="shared" si="112"/>
        <v>1.9693654266958426E-3</v>
      </c>
      <c r="J792" s="4">
        <f t="shared" si="113"/>
        <v>-4.7805302042590175E-3</v>
      </c>
      <c r="K792" s="4">
        <f t="shared" si="114"/>
        <v>4.6316718129686815E-3</v>
      </c>
      <c r="L792" s="4">
        <f t="shared" si="115"/>
        <v>-0.66666666666666663</v>
      </c>
      <c r="M792" s="3">
        <f t="shared" si="108"/>
        <v>11</v>
      </c>
      <c r="N792" s="3">
        <f t="shared" si="109"/>
        <v>2</v>
      </c>
      <c r="O792" s="3">
        <f t="shared" si="110"/>
        <v>3</v>
      </c>
    </row>
    <row r="793" spans="1:15" x14ac:dyDescent="0.2">
      <c r="A793" s="2">
        <v>44868</v>
      </c>
      <c r="B793" s="3">
        <v>22632</v>
      </c>
      <c r="C793" s="3">
        <v>22495</v>
      </c>
      <c r="D793" s="3">
        <v>22625</v>
      </c>
      <c r="E793" s="3">
        <v>22460</v>
      </c>
      <c r="F793" s="3">
        <v>20</v>
      </c>
      <c r="G793" s="7">
        <f t="shared" si="116"/>
        <v>0</v>
      </c>
      <c r="H793" s="5">
        <f t="shared" si="111"/>
        <v>-4.7931049646013808E-3</v>
      </c>
      <c r="I793" s="4">
        <f t="shared" si="112"/>
        <v>-1.7471063550993666E-2</v>
      </c>
      <c r="J793" s="4">
        <f t="shared" si="113"/>
        <v>-1.2008733624454149E-2</v>
      </c>
      <c r="K793" s="4">
        <f t="shared" si="114"/>
        <v>-1.3830954994511526E-2</v>
      </c>
      <c r="L793" s="4">
        <f t="shared" si="115"/>
        <v>1</v>
      </c>
      <c r="M793" s="3">
        <f t="shared" si="108"/>
        <v>11</v>
      </c>
      <c r="N793" s="3">
        <f t="shared" si="109"/>
        <v>3</v>
      </c>
      <c r="O793" s="3">
        <f t="shared" si="110"/>
        <v>4</v>
      </c>
    </row>
    <row r="794" spans="1:15" x14ac:dyDescent="0.2">
      <c r="A794" s="2">
        <v>44869</v>
      </c>
      <c r="B794" s="3">
        <v>23211</v>
      </c>
      <c r="C794" s="3">
        <v>22910</v>
      </c>
      <c r="D794" s="3">
        <v>23305</v>
      </c>
      <c r="E794" s="3">
        <v>22825</v>
      </c>
      <c r="F794" s="3">
        <v>50</v>
      </c>
      <c r="G794" s="7">
        <f t="shared" si="116"/>
        <v>1</v>
      </c>
      <c r="H794" s="5">
        <f t="shared" si="111"/>
        <v>2.5583244962884413E-2</v>
      </c>
      <c r="I794" s="4">
        <f t="shared" si="112"/>
        <v>1.8448544120915761E-2</v>
      </c>
      <c r="J794" s="4">
        <f t="shared" si="113"/>
        <v>3.005524861878453E-2</v>
      </c>
      <c r="K794" s="4">
        <f t="shared" si="114"/>
        <v>1.6251113089937666E-2</v>
      </c>
      <c r="L794" s="4">
        <f t="shared" si="115"/>
        <v>1.5</v>
      </c>
      <c r="M794" s="3">
        <f t="shared" si="108"/>
        <v>11</v>
      </c>
      <c r="N794" s="3">
        <f t="shared" si="109"/>
        <v>4</v>
      </c>
      <c r="O794" s="3">
        <f t="shared" si="110"/>
        <v>5</v>
      </c>
    </row>
    <row r="795" spans="1:15" x14ac:dyDescent="0.2">
      <c r="A795" s="2">
        <v>44872</v>
      </c>
      <c r="B795" s="3">
        <v>23410</v>
      </c>
      <c r="C795" s="3">
        <v>23150</v>
      </c>
      <c r="D795" s="3">
        <v>23420</v>
      </c>
      <c r="E795" s="3">
        <v>23150</v>
      </c>
      <c r="F795" s="3">
        <v>40</v>
      </c>
      <c r="G795" s="7">
        <f t="shared" si="116"/>
        <v>1</v>
      </c>
      <c r="H795" s="5">
        <f t="shared" si="111"/>
        <v>8.5735211753048129E-3</v>
      </c>
      <c r="I795" s="4">
        <f t="shared" si="112"/>
        <v>1.0475774770842427E-2</v>
      </c>
      <c r="J795" s="4">
        <f t="shared" si="113"/>
        <v>4.9345633984123581E-3</v>
      </c>
      <c r="K795" s="4">
        <f t="shared" si="114"/>
        <v>1.4238773274917854E-2</v>
      </c>
      <c r="L795" s="4">
        <f t="shared" si="115"/>
        <v>-0.2</v>
      </c>
      <c r="M795" s="3">
        <f t="shared" si="108"/>
        <v>11</v>
      </c>
      <c r="N795" s="3">
        <f t="shared" si="109"/>
        <v>7</v>
      </c>
      <c r="O795" s="3">
        <f t="shared" si="110"/>
        <v>1</v>
      </c>
    </row>
    <row r="796" spans="1:15" x14ac:dyDescent="0.2">
      <c r="A796" s="2">
        <v>44873</v>
      </c>
      <c r="B796" s="3">
        <v>23636</v>
      </c>
      <c r="C796" s="3">
        <v>23325</v>
      </c>
      <c r="D796" s="3">
        <v>23640</v>
      </c>
      <c r="E796" s="3">
        <v>23325</v>
      </c>
      <c r="F796" s="3">
        <v>20</v>
      </c>
      <c r="G796" s="7">
        <f t="shared" si="116"/>
        <v>1</v>
      </c>
      <c r="H796" s="5">
        <f t="shared" si="111"/>
        <v>9.6539940196497219E-3</v>
      </c>
      <c r="I796" s="4">
        <f t="shared" si="112"/>
        <v>7.5593952483801298E-3</v>
      </c>
      <c r="J796" s="4">
        <f t="shared" si="113"/>
        <v>9.3936806148590939E-3</v>
      </c>
      <c r="K796" s="4">
        <f t="shared" si="114"/>
        <v>7.5593952483801298E-3</v>
      </c>
      <c r="L796" s="4">
        <f t="shared" si="115"/>
        <v>-0.5</v>
      </c>
      <c r="M796" s="3">
        <f t="shared" si="108"/>
        <v>11</v>
      </c>
      <c r="N796" s="3">
        <f t="shared" si="109"/>
        <v>8</v>
      </c>
      <c r="O796" s="3">
        <f t="shared" si="110"/>
        <v>2</v>
      </c>
    </row>
    <row r="797" spans="1:15" x14ac:dyDescent="0.2">
      <c r="A797" s="2">
        <v>44874</v>
      </c>
      <c r="B797" s="3">
        <v>23712</v>
      </c>
      <c r="C797" s="3">
        <v>23630</v>
      </c>
      <c r="D797" s="3">
        <v>23745</v>
      </c>
      <c r="E797" s="3">
        <v>23545</v>
      </c>
      <c r="F797" s="3">
        <v>20</v>
      </c>
      <c r="G797" s="7">
        <f t="shared" si="116"/>
        <v>1</v>
      </c>
      <c r="H797" s="5">
        <f t="shared" si="111"/>
        <v>3.2154340836012861E-3</v>
      </c>
      <c r="I797" s="4">
        <f t="shared" si="112"/>
        <v>1.307609860664523E-2</v>
      </c>
      <c r="J797" s="4">
        <f t="shared" si="113"/>
        <v>4.4416243654822338E-3</v>
      </c>
      <c r="K797" s="4">
        <f t="shared" si="114"/>
        <v>9.431939978563772E-3</v>
      </c>
      <c r="L797" s="4">
        <f t="shared" si="115"/>
        <v>0</v>
      </c>
      <c r="M797" s="3">
        <f t="shared" si="108"/>
        <v>11</v>
      </c>
      <c r="N797" s="3">
        <f t="shared" si="109"/>
        <v>9</v>
      </c>
      <c r="O797" s="3">
        <f t="shared" si="110"/>
        <v>3</v>
      </c>
    </row>
    <row r="798" spans="1:15" x14ac:dyDescent="0.2">
      <c r="A798" s="2">
        <v>44875</v>
      </c>
      <c r="B798" s="3">
        <v>24335</v>
      </c>
      <c r="C798" s="3">
        <v>23585</v>
      </c>
      <c r="D798" s="3">
        <v>24355</v>
      </c>
      <c r="E798" s="3">
        <v>23585</v>
      </c>
      <c r="F798" s="3">
        <v>80</v>
      </c>
      <c r="G798" s="7">
        <f t="shared" si="116"/>
        <v>1</v>
      </c>
      <c r="H798" s="5">
        <f t="shared" si="111"/>
        <v>2.6273616734143052E-2</v>
      </c>
      <c r="I798" s="4">
        <f t="shared" si="112"/>
        <v>-1.9043588658484976E-3</v>
      </c>
      <c r="J798" s="4">
        <f t="shared" si="113"/>
        <v>2.5689618867129921E-2</v>
      </c>
      <c r="K798" s="4">
        <f t="shared" si="114"/>
        <v>1.6988744956466342E-3</v>
      </c>
      <c r="L798" s="4">
        <f t="shared" si="115"/>
        <v>3</v>
      </c>
      <c r="M798" s="3">
        <f t="shared" si="108"/>
        <v>11</v>
      </c>
      <c r="N798" s="3">
        <f t="shared" si="109"/>
        <v>10</v>
      </c>
      <c r="O798" s="3">
        <f t="shared" si="110"/>
        <v>4</v>
      </c>
    </row>
    <row r="799" spans="1:15" x14ac:dyDescent="0.2">
      <c r="A799" s="2">
        <v>44876</v>
      </c>
      <c r="B799" s="3">
        <v>24396</v>
      </c>
      <c r="C799" s="3">
        <v>24530</v>
      </c>
      <c r="D799" s="3">
        <v>24565</v>
      </c>
      <c r="E799" s="3">
        <v>24400</v>
      </c>
      <c r="F799" s="3">
        <v>20</v>
      </c>
      <c r="G799" s="7">
        <f t="shared" si="116"/>
        <v>1</v>
      </c>
      <c r="H799" s="5">
        <f t="shared" si="111"/>
        <v>2.5066776248202178E-3</v>
      </c>
      <c r="I799" s="4">
        <f t="shared" si="112"/>
        <v>4.0067839728641086E-2</v>
      </c>
      <c r="J799" s="4">
        <f t="shared" si="113"/>
        <v>8.6224594539109009E-3</v>
      </c>
      <c r="K799" s="4">
        <f t="shared" si="114"/>
        <v>3.4555861776552892E-2</v>
      </c>
      <c r="L799" s="4">
        <f t="shared" si="115"/>
        <v>-0.75</v>
      </c>
      <c r="M799" s="3">
        <f t="shared" si="108"/>
        <v>11</v>
      </c>
      <c r="N799" s="3">
        <f t="shared" si="109"/>
        <v>11</v>
      </c>
      <c r="O799" s="3">
        <f t="shared" si="110"/>
        <v>5</v>
      </c>
    </row>
    <row r="800" spans="1:15" x14ac:dyDescent="0.2">
      <c r="A800" s="2">
        <v>44879</v>
      </c>
      <c r="B800" s="3">
        <v>24516</v>
      </c>
      <c r="C800" s="3">
        <v>24490</v>
      </c>
      <c r="D800" s="3">
        <v>24620</v>
      </c>
      <c r="E800" s="3">
        <v>24430</v>
      </c>
      <c r="F800" s="3">
        <v>60</v>
      </c>
      <c r="G800" s="7">
        <f t="shared" si="116"/>
        <v>1</v>
      </c>
      <c r="H800" s="5">
        <f t="shared" si="111"/>
        <v>4.9188391539596657E-3</v>
      </c>
      <c r="I800" s="4">
        <f t="shared" si="112"/>
        <v>-1.6306563391765185E-3</v>
      </c>
      <c r="J800" s="4">
        <f t="shared" si="113"/>
        <v>2.2389578668837776E-3</v>
      </c>
      <c r="K800" s="4">
        <f t="shared" si="114"/>
        <v>1.2295081967213116E-3</v>
      </c>
      <c r="L800" s="4">
        <f t="shared" si="115"/>
        <v>2</v>
      </c>
      <c r="M800" s="3">
        <f t="shared" si="108"/>
        <v>11</v>
      </c>
      <c r="N800" s="3">
        <f t="shared" si="109"/>
        <v>14</v>
      </c>
      <c r="O800" s="3">
        <f t="shared" si="110"/>
        <v>1</v>
      </c>
    </row>
    <row r="801" spans="1:15" x14ac:dyDescent="0.2">
      <c r="A801" s="2">
        <v>44880</v>
      </c>
      <c r="B801" s="3">
        <v>24626</v>
      </c>
      <c r="C801" s="3">
        <v>24550</v>
      </c>
      <c r="D801" s="3">
        <v>24680</v>
      </c>
      <c r="E801" s="3">
        <v>24465</v>
      </c>
      <c r="F801" s="3">
        <v>50</v>
      </c>
      <c r="G801" s="7">
        <f t="shared" si="116"/>
        <v>1</v>
      </c>
      <c r="H801" s="5">
        <f t="shared" si="111"/>
        <v>4.4868657203458963E-3</v>
      </c>
      <c r="I801" s="4">
        <f t="shared" si="112"/>
        <v>2.4499795835034709E-3</v>
      </c>
      <c r="J801" s="4">
        <f t="shared" si="113"/>
        <v>2.437043054427295E-3</v>
      </c>
      <c r="K801" s="4">
        <f t="shared" si="114"/>
        <v>1.4326647564469914E-3</v>
      </c>
      <c r="L801" s="4">
        <f t="shared" si="115"/>
        <v>-0.16666666666666666</v>
      </c>
      <c r="M801" s="3">
        <f t="shared" si="108"/>
        <v>11</v>
      </c>
      <c r="N801" s="3">
        <f t="shared" si="109"/>
        <v>15</v>
      </c>
      <c r="O801" s="3">
        <f t="shared" si="110"/>
        <v>2</v>
      </c>
    </row>
    <row r="802" spans="1:15" x14ac:dyDescent="0.2">
      <c r="A802" s="2">
        <v>44881</v>
      </c>
      <c r="B802" s="3">
        <v>24492</v>
      </c>
      <c r="C802" s="3">
        <v>24570</v>
      </c>
      <c r="D802" s="3">
        <v>24685</v>
      </c>
      <c r="E802" s="3">
        <v>24445</v>
      </c>
      <c r="F802" s="3">
        <v>150</v>
      </c>
      <c r="G802" s="7">
        <f t="shared" si="116"/>
        <v>0</v>
      </c>
      <c r="H802" s="5">
        <f t="shared" si="111"/>
        <v>-5.4414033947859982E-3</v>
      </c>
      <c r="I802" s="4">
        <f t="shared" si="112"/>
        <v>8.1466395112016296E-4</v>
      </c>
      <c r="J802" s="4">
        <f t="shared" si="113"/>
        <v>2.025931928687196E-4</v>
      </c>
      <c r="K802" s="4">
        <f t="shared" si="114"/>
        <v>-8.1749437972613941E-4</v>
      </c>
      <c r="L802" s="4">
        <f t="shared" si="115"/>
        <v>2</v>
      </c>
      <c r="M802" s="3">
        <f t="shared" si="108"/>
        <v>11</v>
      </c>
      <c r="N802" s="3">
        <f t="shared" si="109"/>
        <v>16</v>
      </c>
      <c r="O802" s="3">
        <f t="shared" si="110"/>
        <v>3</v>
      </c>
    </row>
    <row r="803" spans="1:15" x14ac:dyDescent="0.2">
      <c r="A803" s="2">
        <v>44882</v>
      </c>
      <c r="B803" s="3">
        <v>24271</v>
      </c>
      <c r="C803" s="3">
        <v>24600</v>
      </c>
      <c r="D803" s="3">
        <v>24600</v>
      </c>
      <c r="E803" s="3">
        <v>24210</v>
      </c>
      <c r="F803" s="3">
        <v>50</v>
      </c>
      <c r="G803" s="7">
        <f t="shared" si="116"/>
        <v>0</v>
      </c>
      <c r="H803" s="5">
        <f t="shared" si="111"/>
        <v>-9.0233545647558384E-3</v>
      </c>
      <c r="I803" s="4">
        <f t="shared" si="112"/>
        <v>1.221001221001221E-3</v>
      </c>
      <c r="J803" s="4">
        <f t="shared" si="113"/>
        <v>-3.4433866720680576E-3</v>
      </c>
      <c r="K803" s="4">
        <f t="shared" si="114"/>
        <v>-9.6134178768664345E-3</v>
      </c>
      <c r="L803" s="4">
        <f t="shared" si="115"/>
        <v>-0.66666666666666663</v>
      </c>
      <c r="M803" s="3">
        <f t="shared" si="108"/>
        <v>11</v>
      </c>
      <c r="N803" s="3">
        <f t="shared" si="109"/>
        <v>17</v>
      </c>
      <c r="O803" s="3">
        <f t="shared" si="110"/>
        <v>4</v>
      </c>
    </row>
    <row r="804" spans="1:15" x14ac:dyDescent="0.2">
      <c r="A804" s="2">
        <v>44883</v>
      </c>
      <c r="B804" s="3">
        <v>24589</v>
      </c>
      <c r="C804" s="3">
        <v>24405</v>
      </c>
      <c r="D804" s="3">
        <v>24625</v>
      </c>
      <c r="E804" s="3">
        <v>24380</v>
      </c>
      <c r="F804" s="3">
        <v>90</v>
      </c>
      <c r="G804" s="7">
        <f t="shared" si="116"/>
        <v>1</v>
      </c>
      <c r="H804" s="5">
        <f t="shared" si="111"/>
        <v>1.3102055951547113E-2</v>
      </c>
      <c r="I804" s="4">
        <f t="shared" si="112"/>
        <v>-7.926829268292683E-3</v>
      </c>
      <c r="J804" s="4">
        <f t="shared" si="113"/>
        <v>1.0162601626016261E-3</v>
      </c>
      <c r="K804" s="4">
        <f t="shared" si="114"/>
        <v>7.0218917802560921E-3</v>
      </c>
      <c r="L804" s="4">
        <f t="shared" si="115"/>
        <v>0.8</v>
      </c>
      <c r="M804" s="3">
        <f t="shared" si="108"/>
        <v>11</v>
      </c>
      <c r="N804" s="3">
        <f t="shared" si="109"/>
        <v>18</v>
      </c>
      <c r="O804" s="3">
        <f t="shared" si="110"/>
        <v>5</v>
      </c>
    </row>
    <row r="805" spans="1:15" x14ac:dyDescent="0.2">
      <c r="A805" s="2">
        <v>44886</v>
      </c>
      <c r="B805" s="3">
        <v>24446</v>
      </c>
      <c r="C805" s="3">
        <v>24540</v>
      </c>
      <c r="D805" s="3">
        <v>24610</v>
      </c>
      <c r="E805" s="3">
        <v>24405</v>
      </c>
      <c r="F805" s="3">
        <v>40</v>
      </c>
      <c r="G805" s="7">
        <f t="shared" si="116"/>
        <v>0</v>
      </c>
      <c r="H805" s="5">
        <f t="shared" si="111"/>
        <v>-5.815608605473992E-3</v>
      </c>
      <c r="I805" s="4">
        <f t="shared" si="112"/>
        <v>5.531653349723417E-3</v>
      </c>
      <c r="J805" s="4">
        <f t="shared" si="113"/>
        <v>-6.0913705583756346E-4</v>
      </c>
      <c r="K805" s="4">
        <f t="shared" si="114"/>
        <v>1.0254306808859721E-3</v>
      </c>
      <c r="L805" s="4">
        <f t="shared" si="115"/>
        <v>-0.55555555555555558</v>
      </c>
      <c r="M805" s="3">
        <f t="shared" si="108"/>
        <v>11</v>
      </c>
      <c r="N805" s="3">
        <f t="shared" si="109"/>
        <v>21</v>
      </c>
      <c r="O805" s="3">
        <f t="shared" si="110"/>
        <v>1</v>
      </c>
    </row>
    <row r="806" spans="1:15" x14ac:dyDescent="0.2">
      <c r="A806" s="2">
        <v>44887</v>
      </c>
      <c r="B806" s="3">
        <v>24677</v>
      </c>
      <c r="C806" s="3">
        <v>24535</v>
      </c>
      <c r="D806" s="3">
        <v>24710</v>
      </c>
      <c r="E806" s="3">
        <v>24450</v>
      </c>
      <c r="F806" s="3">
        <v>60</v>
      </c>
      <c r="G806" s="7">
        <f t="shared" si="116"/>
        <v>1</v>
      </c>
      <c r="H806" s="5">
        <f t="shared" si="111"/>
        <v>9.4493986746297959E-3</v>
      </c>
      <c r="I806" s="4">
        <f t="shared" si="112"/>
        <v>-2.0374898125509371E-4</v>
      </c>
      <c r="J806" s="4">
        <f t="shared" si="113"/>
        <v>4.0633888663145065E-3</v>
      </c>
      <c r="K806" s="4">
        <f t="shared" si="114"/>
        <v>1.8438844499078057E-3</v>
      </c>
      <c r="L806" s="4">
        <f t="shared" si="115"/>
        <v>0.5</v>
      </c>
      <c r="M806" s="3">
        <f t="shared" si="108"/>
        <v>11</v>
      </c>
      <c r="N806" s="3">
        <f t="shared" si="109"/>
        <v>22</v>
      </c>
      <c r="O806" s="3">
        <f t="shared" si="110"/>
        <v>2</v>
      </c>
    </row>
    <row r="807" spans="1:15" x14ac:dyDescent="0.2">
      <c r="A807" s="2">
        <v>44888</v>
      </c>
      <c r="B807" s="3">
        <v>24667</v>
      </c>
      <c r="C807" s="3">
        <v>24730</v>
      </c>
      <c r="D807" s="3">
        <v>24730</v>
      </c>
      <c r="E807" s="3">
        <v>24475</v>
      </c>
      <c r="F807" s="3">
        <v>130</v>
      </c>
      <c r="G807" s="7">
        <f t="shared" si="116"/>
        <v>0</v>
      </c>
      <c r="H807" s="5">
        <f t="shared" si="111"/>
        <v>-4.0523564452729264E-4</v>
      </c>
      <c r="I807" s="4">
        <f t="shared" si="112"/>
        <v>7.9478296311391895E-3</v>
      </c>
      <c r="J807" s="4">
        <f t="shared" si="113"/>
        <v>8.0938891137191421E-4</v>
      </c>
      <c r="K807" s="4">
        <f t="shared" si="114"/>
        <v>1.0224948875255625E-3</v>
      </c>
      <c r="L807" s="4">
        <f t="shared" si="115"/>
        <v>1.1666666666666667</v>
      </c>
      <c r="M807" s="3">
        <f t="shared" si="108"/>
        <v>11</v>
      </c>
      <c r="N807" s="3">
        <f t="shared" si="109"/>
        <v>23</v>
      </c>
      <c r="O807" s="3">
        <f t="shared" si="110"/>
        <v>3</v>
      </c>
    </row>
    <row r="808" spans="1:15" x14ac:dyDescent="0.2">
      <c r="A808" s="2">
        <v>44889</v>
      </c>
      <c r="B808" s="3">
        <v>24812</v>
      </c>
      <c r="C808" s="3">
        <v>24705</v>
      </c>
      <c r="D808" s="3">
        <v>24840</v>
      </c>
      <c r="E808" s="3">
        <v>24670</v>
      </c>
      <c r="F808" s="3">
        <v>60</v>
      </c>
      <c r="G808" s="7">
        <f t="shared" si="116"/>
        <v>1</v>
      </c>
      <c r="H808" s="5">
        <f t="shared" si="111"/>
        <v>5.8782989419061907E-3</v>
      </c>
      <c r="I808" s="4">
        <f t="shared" si="112"/>
        <v>-1.0109179134654266E-3</v>
      </c>
      <c r="J808" s="4">
        <f t="shared" si="113"/>
        <v>4.4480388192478766E-3</v>
      </c>
      <c r="K808" s="4">
        <f t="shared" si="114"/>
        <v>7.9673135852911126E-3</v>
      </c>
      <c r="L808" s="4">
        <f t="shared" si="115"/>
        <v>-0.53846153846153844</v>
      </c>
      <c r="M808" s="3">
        <f t="shared" si="108"/>
        <v>11</v>
      </c>
      <c r="N808" s="3">
        <f t="shared" si="109"/>
        <v>24</v>
      </c>
      <c r="O808" s="3">
        <f t="shared" si="110"/>
        <v>4</v>
      </c>
    </row>
    <row r="809" spans="1:15" x14ac:dyDescent="0.2">
      <c r="A809" s="2">
        <v>44890</v>
      </c>
      <c r="B809" s="3">
        <v>24786</v>
      </c>
      <c r="C809" s="3">
        <v>24855</v>
      </c>
      <c r="D809" s="3">
        <v>24880</v>
      </c>
      <c r="E809" s="3">
        <v>24740</v>
      </c>
      <c r="F809" s="3">
        <v>40</v>
      </c>
      <c r="G809" s="7">
        <f t="shared" si="116"/>
        <v>0</v>
      </c>
      <c r="H809" s="5">
        <f t="shared" si="111"/>
        <v>-1.0478800580364339E-3</v>
      </c>
      <c r="I809" s="4">
        <f t="shared" si="112"/>
        <v>6.0716454159077107E-3</v>
      </c>
      <c r="J809" s="4">
        <f t="shared" si="113"/>
        <v>1.6103059581320451E-3</v>
      </c>
      <c r="K809" s="4">
        <f t="shared" si="114"/>
        <v>2.837454398054317E-3</v>
      </c>
      <c r="L809" s="4">
        <f t="shared" si="115"/>
        <v>-0.33333333333333331</v>
      </c>
      <c r="M809" s="3">
        <f t="shared" si="108"/>
        <v>11</v>
      </c>
      <c r="N809" s="3">
        <f t="shared" si="109"/>
        <v>25</v>
      </c>
      <c r="O809" s="3">
        <f t="shared" si="110"/>
        <v>5</v>
      </c>
    </row>
    <row r="810" spans="1:15" x14ac:dyDescent="0.2">
      <c r="A810" s="2">
        <v>44893</v>
      </c>
      <c r="B810" s="3">
        <v>24524</v>
      </c>
      <c r="C810" s="3">
        <v>24600</v>
      </c>
      <c r="D810" s="3">
        <v>24600</v>
      </c>
      <c r="E810" s="3">
        <v>24440</v>
      </c>
      <c r="F810" s="3">
        <v>20</v>
      </c>
      <c r="G810" s="7">
        <f t="shared" si="116"/>
        <v>0</v>
      </c>
      <c r="H810" s="5">
        <f t="shared" si="111"/>
        <v>-1.0570483337367868E-2</v>
      </c>
      <c r="I810" s="4">
        <f t="shared" si="112"/>
        <v>-1.0259505129752565E-2</v>
      </c>
      <c r="J810" s="4">
        <f t="shared" si="113"/>
        <v>-1.1254019292604502E-2</v>
      </c>
      <c r="K810" s="4">
        <f t="shared" si="114"/>
        <v>-1.2126111560226353E-2</v>
      </c>
      <c r="L810" s="4">
        <f t="shared" si="115"/>
        <v>-0.5</v>
      </c>
      <c r="M810" s="3">
        <f t="shared" si="108"/>
        <v>11</v>
      </c>
      <c r="N810" s="3">
        <f t="shared" si="109"/>
        <v>28</v>
      </c>
      <c r="O810" s="3">
        <f t="shared" si="110"/>
        <v>1</v>
      </c>
    </row>
    <row r="811" spans="1:15" x14ac:dyDescent="0.2">
      <c r="A811" s="2">
        <v>44894</v>
      </c>
      <c r="B811" s="3">
        <v>24537</v>
      </c>
      <c r="C811" s="3">
        <v>24645</v>
      </c>
      <c r="D811" s="3">
        <v>24665</v>
      </c>
      <c r="E811" s="3">
        <v>24500</v>
      </c>
      <c r="F811" s="3">
        <v>40</v>
      </c>
      <c r="G811" s="7">
        <f t="shared" si="116"/>
        <v>1</v>
      </c>
      <c r="H811" s="5">
        <f t="shared" si="111"/>
        <v>5.3009297015168817E-4</v>
      </c>
      <c r="I811" s="4">
        <f t="shared" si="112"/>
        <v>1.8292682926829269E-3</v>
      </c>
      <c r="J811" s="4">
        <f t="shared" si="113"/>
        <v>2.6422764227642275E-3</v>
      </c>
      <c r="K811" s="4">
        <f t="shared" si="114"/>
        <v>2.4549918166939444E-3</v>
      </c>
      <c r="L811" s="4">
        <f t="shared" si="115"/>
        <v>1</v>
      </c>
      <c r="M811" s="3">
        <f t="shared" si="108"/>
        <v>11</v>
      </c>
      <c r="N811" s="3">
        <f t="shared" si="109"/>
        <v>29</v>
      </c>
      <c r="O811" s="3">
        <f t="shared" si="110"/>
        <v>2</v>
      </c>
    </row>
    <row r="812" spans="1:15" x14ac:dyDescent="0.2">
      <c r="A812" s="2">
        <v>44895</v>
      </c>
      <c r="B812" s="3">
        <v>24680</v>
      </c>
      <c r="C812" s="3">
        <v>24650</v>
      </c>
      <c r="D812" s="3">
        <v>24895</v>
      </c>
      <c r="E812" s="3">
        <v>24550</v>
      </c>
      <c r="F812" s="3">
        <v>70</v>
      </c>
      <c r="G812" s="7">
        <f t="shared" si="116"/>
        <v>1</v>
      </c>
      <c r="H812" s="5">
        <f t="shared" si="111"/>
        <v>5.827933325182378E-3</v>
      </c>
      <c r="I812" s="4">
        <f t="shared" si="112"/>
        <v>2.028809089064719E-4</v>
      </c>
      <c r="J812" s="4">
        <f t="shared" si="113"/>
        <v>9.3249543888100552E-3</v>
      </c>
      <c r="K812" s="4">
        <f t="shared" si="114"/>
        <v>2.0408163265306124E-3</v>
      </c>
      <c r="L812" s="4">
        <f t="shared" si="115"/>
        <v>0.75</v>
      </c>
      <c r="M812" s="3">
        <f t="shared" si="108"/>
        <v>11</v>
      </c>
      <c r="N812" s="3">
        <f t="shared" si="109"/>
        <v>30</v>
      </c>
      <c r="O812" s="3">
        <f t="shared" si="110"/>
        <v>3</v>
      </c>
    </row>
    <row r="813" spans="1:15" x14ac:dyDescent="0.2">
      <c r="A813" s="2">
        <v>44896</v>
      </c>
      <c r="B813" s="3">
        <v>24727</v>
      </c>
      <c r="C813" s="3">
        <v>24865</v>
      </c>
      <c r="D813" s="3">
        <v>24915</v>
      </c>
      <c r="E813" s="3">
        <v>24690</v>
      </c>
      <c r="F813" s="3">
        <v>100</v>
      </c>
      <c r="G813" s="7">
        <f t="shared" si="116"/>
        <v>1</v>
      </c>
      <c r="H813" s="5">
        <f t="shared" si="111"/>
        <v>1.9043760129659644E-3</v>
      </c>
      <c r="I813" s="4">
        <f t="shared" si="112"/>
        <v>8.7221095334685597E-3</v>
      </c>
      <c r="J813" s="4">
        <f t="shared" si="113"/>
        <v>8.0337417152038561E-4</v>
      </c>
      <c r="K813" s="4">
        <f t="shared" si="114"/>
        <v>5.7026476578411409E-3</v>
      </c>
      <c r="L813" s="4">
        <f t="shared" si="115"/>
        <v>0.42857142857142855</v>
      </c>
      <c r="M813" s="3">
        <f t="shared" si="108"/>
        <v>12</v>
      </c>
      <c r="N813" s="3">
        <f t="shared" si="109"/>
        <v>1</v>
      </c>
      <c r="O813" s="3">
        <f t="shared" si="110"/>
        <v>4</v>
      </c>
    </row>
    <row r="814" spans="1:15" x14ac:dyDescent="0.2">
      <c r="A814" s="2">
        <v>44897</v>
      </c>
      <c r="B814" s="3">
        <v>24648</v>
      </c>
      <c r="C814" s="3">
        <v>24675</v>
      </c>
      <c r="D814" s="3">
        <v>24730</v>
      </c>
      <c r="E814" s="3">
        <v>24600</v>
      </c>
      <c r="F814" s="3">
        <v>80</v>
      </c>
      <c r="G814" s="7">
        <f t="shared" si="116"/>
        <v>0</v>
      </c>
      <c r="H814" s="5">
        <f t="shared" si="111"/>
        <v>-3.1948881789137379E-3</v>
      </c>
      <c r="I814" s="4">
        <f t="shared" si="112"/>
        <v>-7.6412628192238088E-3</v>
      </c>
      <c r="J814" s="4">
        <f t="shared" si="113"/>
        <v>-7.4252458358418623E-3</v>
      </c>
      <c r="K814" s="4">
        <f t="shared" si="114"/>
        <v>-3.6452004860267314E-3</v>
      </c>
      <c r="L814" s="4">
        <f t="shared" si="115"/>
        <v>-0.2</v>
      </c>
      <c r="M814" s="3">
        <f t="shared" si="108"/>
        <v>12</v>
      </c>
      <c r="N814" s="3">
        <f t="shared" si="109"/>
        <v>2</v>
      </c>
      <c r="O814" s="3">
        <f t="shared" si="110"/>
        <v>5</v>
      </c>
    </row>
    <row r="815" spans="1:15" x14ac:dyDescent="0.2">
      <c r="A815" s="2">
        <v>44900</v>
      </c>
      <c r="B815" s="3">
        <v>24593</v>
      </c>
      <c r="C815" s="3">
        <v>24660</v>
      </c>
      <c r="D815" s="3">
        <v>24710</v>
      </c>
      <c r="E815" s="3">
        <v>24580</v>
      </c>
      <c r="F815" s="3">
        <v>50</v>
      </c>
      <c r="G815" s="7">
        <f t="shared" si="116"/>
        <v>0</v>
      </c>
      <c r="H815" s="5">
        <f t="shared" si="111"/>
        <v>-2.2314183706588771E-3</v>
      </c>
      <c r="I815" s="4">
        <f t="shared" si="112"/>
        <v>-6.0790273556231007E-4</v>
      </c>
      <c r="J815" s="4">
        <f t="shared" si="113"/>
        <v>-8.0873433077234124E-4</v>
      </c>
      <c r="K815" s="4">
        <f t="shared" si="114"/>
        <v>-8.1300813008130081E-4</v>
      </c>
      <c r="L815" s="4">
        <f t="shared" si="115"/>
        <v>-0.375</v>
      </c>
      <c r="M815" s="3">
        <f t="shared" si="108"/>
        <v>12</v>
      </c>
      <c r="N815" s="3">
        <f t="shared" si="109"/>
        <v>5</v>
      </c>
      <c r="O815" s="3">
        <f t="shared" si="110"/>
        <v>1</v>
      </c>
    </row>
    <row r="816" spans="1:15" x14ac:dyDescent="0.2">
      <c r="A816" s="2">
        <v>44901</v>
      </c>
      <c r="B816" s="3">
        <v>24335</v>
      </c>
      <c r="C816" s="3">
        <v>24590</v>
      </c>
      <c r="D816" s="3">
        <v>24600</v>
      </c>
      <c r="E816" s="3">
        <v>24240</v>
      </c>
      <c r="F816" s="3">
        <v>140</v>
      </c>
      <c r="G816" s="7">
        <f t="shared" si="116"/>
        <v>0</v>
      </c>
      <c r="H816" s="5">
        <f t="shared" si="111"/>
        <v>-1.0490790062212825E-2</v>
      </c>
      <c r="I816" s="4">
        <f t="shared" si="112"/>
        <v>-2.8386050283860501E-3</v>
      </c>
      <c r="J816" s="4">
        <f t="shared" si="113"/>
        <v>-4.4516390125455283E-3</v>
      </c>
      <c r="K816" s="4">
        <f t="shared" si="114"/>
        <v>-1.3832384052074858E-2</v>
      </c>
      <c r="L816" s="4">
        <f t="shared" si="115"/>
        <v>1.8</v>
      </c>
      <c r="M816" s="3">
        <f t="shared" si="108"/>
        <v>12</v>
      </c>
      <c r="N816" s="3">
        <f t="shared" si="109"/>
        <v>6</v>
      </c>
      <c r="O816" s="3">
        <f t="shared" si="110"/>
        <v>2</v>
      </c>
    </row>
    <row r="817" spans="1:15" x14ac:dyDescent="0.2">
      <c r="A817" s="2">
        <v>44902</v>
      </c>
      <c r="B817" s="3">
        <v>24276</v>
      </c>
      <c r="C817" s="3">
        <v>24275</v>
      </c>
      <c r="D817" s="3">
        <v>24460</v>
      </c>
      <c r="E817" s="3">
        <v>24205</v>
      </c>
      <c r="F817" s="3">
        <v>310</v>
      </c>
      <c r="G817" s="7">
        <f t="shared" si="116"/>
        <v>0</v>
      </c>
      <c r="H817" s="5">
        <f t="shared" si="111"/>
        <v>-2.424491473186768E-3</v>
      </c>
      <c r="I817" s="4">
        <f t="shared" si="112"/>
        <v>-1.2810085400569337E-2</v>
      </c>
      <c r="J817" s="4">
        <f t="shared" si="113"/>
        <v>-5.6910569105691061E-3</v>
      </c>
      <c r="K817" s="4">
        <f t="shared" si="114"/>
        <v>-1.4438943894389438E-3</v>
      </c>
      <c r="L817" s="4">
        <f t="shared" si="115"/>
        <v>1.2142857142857142</v>
      </c>
      <c r="M817" s="3">
        <f t="shared" si="108"/>
        <v>12</v>
      </c>
      <c r="N817" s="3">
        <f t="shared" si="109"/>
        <v>7</v>
      </c>
      <c r="O817" s="3">
        <f t="shared" si="110"/>
        <v>3</v>
      </c>
    </row>
    <row r="818" spans="1:15" x14ac:dyDescent="0.2">
      <c r="A818" s="2">
        <v>44903</v>
      </c>
      <c r="B818" s="3">
        <v>24249</v>
      </c>
      <c r="C818" s="3">
        <v>24200</v>
      </c>
      <c r="D818" s="3">
        <v>24305</v>
      </c>
      <c r="E818" s="3">
        <v>24150</v>
      </c>
      <c r="F818" s="3">
        <v>1160</v>
      </c>
      <c r="G818" s="7">
        <f t="shared" si="116"/>
        <v>0</v>
      </c>
      <c r="H818" s="5">
        <f t="shared" si="111"/>
        <v>-1.1122095897182402E-3</v>
      </c>
      <c r="I818" s="4">
        <f t="shared" si="112"/>
        <v>-3.089598352214212E-3</v>
      </c>
      <c r="J818" s="4">
        <f t="shared" si="113"/>
        <v>-6.3368765331152906E-3</v>
      </c>
      <c r="K818" s="4">
        <f t="shared" si="114"/>
        <v>-2.272257797975625E-3</v>
      </c>
      <c r="L818" s="4">
        <f t="shared" si="115"/>
        <v>2.7419354838709675</v>
      </c>
      <c r="M818" s="3">
        <f t="shared" si="108"/>
        <v>12</v>
      </c>
      <c r="N818" s="3">
        <f t="shared" si="109"/>
        <v>8</v>
      </c>
      <c r="O818" s="3">
        <f t="shared" si="110"/>
        <v>4</v>
      </c>
    </row>
    <row r="819" spans="1:15" x14ac:dyDescent="0.2">
      <c r="A819" s="2">
        <v>44904</v>
      </c>
      <c r="B819" s="3">
        <v>24314</v>
      </c>
      <c r="C819" s="3">
        <v>24315</v>
      </c>
      <c r="D819" s="3">
        <v>24355</v>
      </c>
      <c r="E819" s="3">
        <v>24120</v>
      </c>
      <c r="F819" s="3">
        <v>1590</v>
      </c>
      <c r="G819" s="7">
        <f t="shared" si="116"/>
        <v>1</v>
      </c>
      <c r="H819" s="5">
        <f t="shared" si="111"/>
        <v>2.6805229081611611E-3</v>
      </c>
      <c r="I819" s="4">
        <f t="shared" si="112"/>
        <v>4.752066115702479E-3</v>
      </c>
      <c r="J819" s="4">
        <f t="shared" si="113"/>
        <v>2.0571898786257972E-3</v>
      </c>
      <c r="K819" s="4">
        <f t="shared" si="114"/>
        <v>-1.2422360248447205E-3</v>
      </c>
      <c r="L819" s="4">
        <f t="shared" si="115"/>
        <v>0.37068965517241381</v>
      </c>
      <c r="M819" s="3">
        <f t="shared" si="108"/>
        <v>12</v>
      </c>
      <c r="N819" s="3">
        <f t="shared" si="109"/>
        <v>9</v>
      </c>
      <c r="O819" s="3">
        <f t="shared" si="110"/>
        <v>5</v>
      </c>
    </row>
    <row r="820" spans="1:15" x14ac:dyDescent="0.2">
      <c r="A820" s="2">
        <v>44907</v>
      </c>
      <c r="B820" s="3">
        <v>24356</v>
      </c>
      <c r="C820" s="3">
        <v>24185</v>
      </c>
      <c r="D820" s="3">
        <v>24500</v>
      </c>
      <c r="E820" s="3">
        <v>24155</v>
      </c>
      <c r="F820" s="3">
        <v>19190</v>
      </c>
      <c r="G820" s="7">
        <f t="shared" si="116"/>
        <v>1</v>
      </c>
      <c r="H820" s="5">
        <f t="shared" si="111"/>
        <v>1.7273998519371555E-3</v>
      </c>
      <c r="I820" s="4">
        <f t="shared" si="112"/>
        <v>-5.3464939337857292E-3</v>
      </c>
      <c r="J820" s="4">
        <f t="shared" si="113"/>
        <v>5.9536029562718131E-3</v>
      </c>
      <c r="K820" s="4">
        <f t="shared" si="114"/>
        <v>1.4510779436152569E-3</v>
      </c>
      <c r="L820" s="4">
        <f t="shared" si="115"/>
        <v>11.069182389937106</v>
      </c>
      <c r="M820" s="3">
        <f t="shared" si="108"/>
        <v>12</v>
      </c>
      <c r="N820" s="3">
        <f t="shared" si="109"/>
        <v>12</v>
      </c>
      <c r="O820" s="3">
        <f t="shared" si="110"/>
        <v>1</v>
      </c>
    </row>
    <row r="821" spans="1:15" x14ac:dyDescent="0.2">
      <c r="A821" s="2">
        <v>44908</v>
      </c>
      <c r="B821" s="3">
        <v>24662</v>
      </c>
      <c r="C821" s="3">
        <v>24445</v>
      </c>
      <c r="D821" s="3">
        <v>24940</v>
      </c>
      <c r="E821" s="3">
        <v>24320</v>
      </c>
      <c r="F821" s="3">
        <v>28980</v>
      </c>
      <c r="G821" s="7">
        <f t="shared" si="116"/>
        <v>1</v>
      </c>
      <c r="H821" s="5">
        <f t="shared" si="111"/>
        <v>1.2563639349646905E-2</v>
      </c>
      <c r="I821" s="4">
        <f t="shared" si="112"/>
        <v>1.0750465164358073E-2</v>
      </c>
      <c r="J821" s="4">
        <f t="shared" si="113"/>
        <v>1.7959183673469388E-2</v>
      </c>
      <c r="K821" s="4">
        <f t="shared" si="114"/>
        <v>6.8308838749741255E-3</v>
      </c>
      <c r="L821" s="4">
        <f t="shared" si="115"/>
        <v>0.51016154247003642</v>
      </c>
      <c r="M821" s="3">
        <f t="shared" si="108"/>
        <v>12</v>
      </c>
      <c r="N821" s="3">
        <f t="shared" si="109"/>
        <v>13</v>
      </c>
      <c r="O821" s="3">
        <f t="shared" si="110"/>
        <v>2</v>
      </c>
    </row>
    <row r="822" spans="1:15" x14ac:dyDescent="0.2">
      <c r="A822" s="2">
        <v>44909</v>
      </c>
      <c r="B822" s="3">
        <v>24603</v>
      </c>
      <c r="C822" s="3">
        <v>24655</v>
      </c>
      <c r="D822" s="3">
        <v>24690</v>
      </c>
      <c r="E822" s="3">
        <v>24400</v>
      </c>
      <c r="F822" s="3">
        <v>27880</v>
      </c>
      <c r="G822" s="7">
        <f t="shared" si="116"/>
        <v>0</v>
      </c>
      <c r="H822" s="5">
        <f t="shared" si="111"/>
        <v>-2.3923444976076554E-3</v>
      </c>
      <c r="I822" s="4">
        <f t="shared" si="112"/>
        <v>8.5907138474125583E-3</v>
      </c>
      <c r="J822" s="4">
        <f t="shared" si="113"/>
        <v>-1.0024057738572574E-2</v>
      </c>
      <c r="K822" s="4">
        <f t="shared" si="114"/>
        <v>3.2894736842105261E-3</v>
      </c>
      <c r="L822" s="4">
        <f t="shared" si="115"/>
        <v>-3.7957211870255352E-2</v>
      </c>
      <c r="M822" s="3">
        <f t="shared" si="108"/>
        <v>12</v>
      </c>
      <c r="N822" s="3">
        <f t="shared" si="109"/>
        <v>14</v>
      </c>
      <c r="O822" s="3">
        <f t="shared" si="110"/>
        <v>3</v>
      </c>
    </row>
    <row r="823" spans="1:15" x14ac:dyDescent="0.2">
      <c r="A823" s="2">
        <v>44910</v>
      </c>
      <c r="B823" s="3">
        <v>23739</v>
      </c>
      <c r="C823" s="3">
        <v>24405</v>
      </c>
      <c r="D823" s="3">
        <v>24495</v>
      </c>
      <c r="E823" s="3">
        <v>23690</v>
      </c>
      <c r="F823" s="3">
        <v>20660</v>
      </c>
      <c r="G823" s="7">
        <f t="shared" si="116"/>
        <v>0</v>
      </c>
      <c r="H823" s="5">
        <f t="shared" si="111"/>
        <v>-3.5117668577002804E-2</v>
      </c>
      <c r="I823" s="4">
        <f t="shared" si="112"/>
        <v>-1.0139931048468871E-2</v>
      </c>
      <c r="J823" s="4">
        <f t="shared" si="113"/>
        <v>-7.8979343863912511E-3</v>
      </c>
      <c r="K823" s="4">
        <f t="shared" si="114"/>
        <v>-2.9098360655737704E-2</v>
      </c>
      <c r="L823" s="4">
        <f t="shared" si="115"/>
        <v>-0.25896700143472023</v>
      </c>
      <c r="M823" s="3">
        <f t="shared" si="108"/>
        <v>12</v>
      </c>
      <c r="N823" s="3">
        <f t="shared" si="109"/>
        <v>15</v>
      </c>
      <c r="O823" s="3">
        <f t="shared" si="110"/>
        <v>4</v>
      </c>
    </row>
    <row r="824" spans="1:15" x14ac:dyDescent="0.2">
      <c r="A824" s="2">
        <v>44911</v>
      </c>
      <c r="B824" s="3">
        <v>23680</v>
      </c>
      <c r="C824" s="3">
        <v>23830</v>
      </c>
      <c r="D824" s="3">
        <v>23850</v>
      </c>
      <c r="E824" s="3">
        <v>23515</v>
      </c>
      <c r="F824" s="3">
        <v>24420</v>
      </c>
      <c r="G824" s="7">
        <f t="shared" si="116"/>
        <v>0</v>
      </c>
      <c r="H824" s="5">
        <f t="shared" si="111"/>
        <v>-2.4853616411811786E-3</v>
      </c>
      <c r="I824" s="4">
        <f t="shared" si="112"/>
        <v>-2.3560745748821964E-2</v>
      </c>
      <c r="J824" s="4">
        <f t="shared" si="113"/>
        <v>-2.6331904470300063E-2</v>
      </c>
      <c r="K824" s="4">
        <f t="shared" si="114"/>
        <v>-7.3870831574504008E-3</v>
      </c>
      <c r="L824" s="4">
        <f t="shared" si="115"/>
        <v>0.1819941916747338</v>
      </c>
      <c r="M824" s="3">
        <f t="shared" si="108"/>
        <v>12</v>
      </c>
      <c r="N824" s="3">
        <f t="shared" si="109"/>
        <v>16</v>
      </c>
      <c r="O824" s="3">
        <f t="shared" si="110"/>
        <v>5</v>
      </c>
    </row>
    <row r="825" spans="1:15" x14ac:dyDescent="0.2">
      <c r="A825" s="2">
        <v>44914</v>
      </c>
      <c r="B825" s="3">
        <v>23323</v>
      </c>
      <c r="C825" s="3">
        <v>23440</v>
      </c>
      <c r="D825" s="3">
        <v>23440</v>
      </c>
      <c r="E825" s="3">
        <v>23345</v>
      </c>
      <c r="F825" s="3">
        <v>10</v>
      </c>
      <c r="G825" s="7">
        <f t="shared" si="116"/>
        <v>0</v>
      </c>
      <c r="H825" s="5">
        <f t="shared" si="111"/>
        <v>-1.5076013513513514E-2</v>
      </c>
      <c r="I825" s="4">
        <f t="shared" si="112"/>
        <v>-1.6365925304238357E-2</v>
      </c>
      <c r="J825" s="4">
        <f t="shared" si="113"/>
        <v>-1.7190775681341718E-2</v>
      </c>
      <c r="K825" s="4">
        <f t="shared" si="114"/>
        <v>-7.2294280246651072E-3</v>
      </c>
      <c r="L825" s="4">
        <f t="shared" si="115"/>
        <v>-0.99959049959049961</v>
      </c>
      <c r="M825" s="3">
        <f t="shared" si="108"/>
        <v>12</v>
      </c>
      <c r="N825" s="3">
        <f t="shared" si="109"/>
        <v>19</v>
      </c>
      <c r="O825" s="3">
        <f t="shared" si="110"/>
        <v>1</v>
      </c>
    </row>
    <row r="826" spans="1:15" x14ac:dyDescent="0.2">
      <c r="A826" s="2">
        <v>44915</v>
      </c>
      <c r="B826" s="3">
        <v>23309</v>
      </c>
      <c r="C826" s="3">
        <v>23275</v>
      </c>
      <c r="D826" s="3">
        <v>23335</v>
      </c>
      <c r="E826" s="3">
        <v>23275</v>
      </c>
      <c r="F826" s="3">
        <v>10</v>
      </c>
      <c r="G826" s="7">
        <f t="shared" si="116"/>
        <v>0</v>
      </c>
      <c r="H826" s="5">
        <f t="shared" si="111"/>
        <v>-6.0026583201131932E-4</v>
      </c>
      <c r="I826" s="4">
        <f t="shared" si="112"/>
        <v>-7.039249146757679E-3</v>
      </c>
      <c r="J826" s="4">
        <f t="shared" si="113"/>
        <v>-4.4795221843003412E-3</v>
      </c>
      <c r="K826" s="4">
        <f t="shared" si="114"/>
        <v>-2.9985007496251873E-3</v>
      </c>
      <c r="L826" s="4">
        <f t="shared" si="115"/>
        <v>0</v>
      </c>
      <c r="M826" s="3">
        <f t="shared" si="108"/>
        <v>12</v>
      </c>
      <c r="N826" s="3">
        <f t="shared" si="109"/>
        <v>20</v>
      </c>
      <c r="O826" s="3">
        <f t="shared" si="110"/>
        <v>2</v>
      </c>
    </row>
    <row r="827" spans="1:15" x14ac:dyDescent="0.2">
      <c r="A827" s="2">
        <v>44916</v>
      </c>
      <c r="B827" s="3">
        <v>23710</v>
      </c>
      <c r="C827" s="3">
        <v>23405</v>
      </c>
      <c r="D827" s="3">
        <v>23630</v>
      </c>
      <c r="E827" s="3">
        <v>23405</v>
      </c>
      <c r="F827" s="3">
        <v>10</v>
      </c>
      <c r="G827" s="7">
        <f t="shared" si="116"/>
        <v>1</v>
      </c>
      <c r="H827" s="5">
        <f t="shared" si="111"/>
        <v>1.7203655240465056E-2</v>
      </c>
      <c r="I827" s="4">
        <f t="shared" si="112"/>
        <v>5.5853920515574647E-3</v>
      </c>
      <c r="J827" s="4">
        <f t="shared" si="113"/>
        <v>1.2641954146132419E-2</v>
      </c>
      <c r="K827" s="4">
        <f t="shared" si="114"/>
        <v>5.5853920515574647E-3</v>
      </c>
      <c r="L827" s="4">
        <f t="shared" si="115"/>
        <v>0</v>
      </c>
      <c r="M827" s="3">
        <f t="shared" si="108"/>
        <v>12</v>
      </c>
      <c r="N827" s="3">
        <f t="shared" si="109"/>
        <v>21</v>
      </c>
      <c r="O827" s="3">
        <f t="shared" si="110"/>
        <v>3</v>
      </c>
    </row>
    <row r="828" spans="1:15" x14ac:dyDescent="0.2">
      <c r="A828" s="2">
        <v>44917</v>
      </c>
      <c r="B828" s="3">
        <v>23418</v>
      </c>
      <c r="C828" s="3">
        <v>23770</v>
      </c>
      <c r="D828" s="3">
        <v>23770</v>
      </c>
      <c r="E828" s="3">
        <v>23300</v>
      </c>
      <c r="F828" s="3">
        <v>10</v>
      </c>
      <c r="G828" s="7">
        <f t="shared" si="116"/>
        <v>0</v>
      </c>
      <c r="H828" s="5">
        <f t="shared" si="111"/>
        <v>-1.2315478700970054E-2</v>
      </c>
      <c r="I828" s="4">
        <f t="shared" si="112"/>
        <v>1.5594958342234566E-2</v>
      </c>
      <c r="J828" s="4">
        <f t="shared" si="113"/>
        <v>5.9246720270842148E-3</v>
      </c>
      <c r="K828" s="4">
        <f t="shared" si="114"/>
        <v>-4.4862208929715873E-3</v>
      </c>
      <c r="L828" s="4">
        <f t="shared" si="115"/>
        <v>0</v>
      </c>
      <c r="M828" s="3">
        <f t="shared" si="108"/>
        <v>12</v>
      </c>
      <c r="N828" s="3">
        <f t="shared" si="109"/>
        <v>22</v>
      </c>
      <c r="O828" s="3">
        <f t="shared" si="110"/>
        <v>4</v>
      </c>
    </row>
    <row r="829" spans="1:15" x14ac:dyDescent="0.2">
      <c r="A829" s="2">
        <v>44918</v>
      </c>
      <c r="B829" s="3">
        <v>23488</v>
      </c>
      <c r="C829" s="3">
        <v>23420</v>
      </c>
      <c r="D829" s="3">
        <v>23535</v>
      </c>
      <c r="E829" s="3">
        <v>23390</v>
      </c>
      <c r="F829" s="3">
        <v>10</v>
      </c>
      <c r="G829" s="7">
        <f t="shared" si="116"/>
        <v>1</v>
      </c>
      <c r="H829" s="5">
        <f t="shared" si="111"/>
        <v>2.9891536424972243E-3</v>
      </c>
      <c r="I829" s="4">
        <f t="shared" si="112"/>
        <v>-1.4724442574673959E-2</v>
      </c>
      <c r="J829" s="4">
        <f t="shared" si="113"/>
        <v>-9.8864114429953725E-3</v>
      </c>
      <c r="K829" s="4">
        <f t="shared" si="114"/>
        <v>3.8626609442060085E-3</v>
      </c>
      <c r="L829" s="4">
        <f t="shared" si="115"/>
        <v>0</v>
      </c>
      <c r="M829" s="3">
        <f t="shared" si="108"/>
        <v>12</v>
      </c>
      <c r="N829" s="3">
        <f t="shared" si="109"/>
        <v>23</v>
      </c>
      <c r="O829" s="3">
        <f t="shared" si="110"/>
        <v>5</v>
      </c>
    </row>
    <row r="830" spans="1:15" x14ac:dyDescent="0.2">
      <c r="A830" s="2">
        <v>44922</v>
      </c>
      <c r="B830" s="3">
        <v>23457</v>
      </c>
      <c r="C830" s="3">
        <v>23575</v>
      </c>
      <c r="D830" s="3">
        <v>23575</v>
      </c>
      <c r="E830" s="3">
        <v>23430</v>
      </c>
      <c r="F830" s="3">
        <v>10</v>
      </c>
      <c r="G830" s="7">
        <f t="shared" si="116"/>
        <v>0</v>
      </c>
      <c r="H830" s="5">
        <f t="shared" si="111"/>
        <v>-1.3198228882833787E-3</v>
      </c>
      <c r="I830" s="4">
        <f t="shared" si="112"/>
        <v>6.6182749786507259E-3</v>
      </c>
      <c r="J830" s="4">
        <f t="shared" si="113"/>
        <v>1.6995963458678563E-3</v>
      </c>
      <c r="K830" s="4">
        <f t="shared" si="114"/>
        <v>1.7101325352714834E-3</v>
      </c>
      <c r="L830" s="4">
        <f t="shared" si="115"/>
        <v>0</v>
      </c>
      <c r="M830" s="3">
        <f t="shared" si="108"/>
        <v>12</v>
      </c>
      <c r="N830" s="3">
        <f t="shared" si="109"/>
        <v>27</v>
      </c>
      <c r="O830" s="3">
        <f t="shared" si="110"/>
        <v>2</v>
      </c>
    </row>
    <row r="831" spans="1:15" x14ac:dyDescent="0.2">
      <c r="A831" s="2">
        <v>44923</v>
      </c>
      <c r="B831" s="3">
        <v>23384</v>
      </c>
      <c r="C831" s="3">
        <v>23445</v>
      </c>
      <c r="D831" s="3">
        <v>23450</v>
      </c>
      <c r="E831" s="3">
        <v>23330</v>
      </c>
      <c r="F831" s="3">
        <v>10</v>
      </c>
      <c r="G831" s="7">
        <f t="shared" si="116"/>
        <v>0</v>
      </c>
      <c r="H831" s="5">
        <f t="shared" si="111"/>
        <v>-3.1120774182546787E-3</v>
      </c>
      <c r="I831" s="4">
        <f t="shared" si="112"/>
        <v>-5.5143160127253442E-3</v>
      </c>
      <c r="J831" s="4">
        <f t="shared" si="113"/>
        <v>-5.3022269353128317E-3</v>
      </c>
      <c r="K831" s="4">
        <f t="shared" si="114"/>
        <v>-4.268032437046522E-3</v>
      </c>
      <c r="L831" s="4">
        <f t="shared" si="115"/>
        <v>0</v>
      </c>
      <c r="M831" s="3">
        <f t="shared" si="108"/>
        <v>12</v>
      </c>
      <c r="N831" s="3">
        <f t="shared" si="109"/>
        <v>28</v>
      </c>
      <c r="O831" s="3">
        <f t="shared" si="110"/>
        <v>3</v>
      </c>
    </row>
    <row r="832" spans="1:15" x14ac:dyDescent="0.2">
      <c r="A832" s="2">
        <v>44924</v>
      </c>
      <c r="B832" s="3">
        <v>23672</v>
      </c>
      <c r="C832" s="3">
        <v>23270</v>
      </c>
      <c r="D832" s="3">
        <v>23665</v>
      </c>
      <c r="E832" s="3">
        <v>23270</v>
      </c>
      <c r="F832" s="3">
        <v>10</v>
      </c>
      <c r="G832" s="7">
        <f t="shared" si="116"/>
        <v>1</v>
      </c>
      <c r="H832" s="5">
        <f t="shared" si="111"/>
        <v>1.2316113581936367E-2</v>
      </c>
      <c r="I832" s="4">
        <f t="shared" si="112"/>
        <v>-7.4642780976754107E-3</v>
      </c>
      <c r="J832" s="4">
        <f t="shared" si="113"/>
        <v>9.1684434968017058E-3</v>
      </c>
      <c r="K832" s="4">
        <f t="shared" si="114"/>
        <v>-2.5717959708529792E-3</v>
      </c>
      <c r="L832" s="4">
        <f t="shared" si="115"/>
        <v>0</v>
      </c>
      <c r="M832" s="3">
        <f t="shared" si="108"/>
        <v>12</v>
      </c>
      <c r="N832" s="3">
        <f t="shared" si="109"/>
        <v>29</v>
      </c>
      <c r="O832" s="3">
        <f t="shared" si="110"/>
        <v>4</v>
      </c>
    </row>
    <row r="833" spans="1:15" x14ac:dyDescent="0.2">
      <c r="A833" s="2">
        <v>44925</v>
      </c>
      <c r="B833" s="3">
        <v>23316</v>
      </c>
      <c r="C833" s="3">
        <v>23615</v>
      </c>
      <c r="D833" s="3">
        <v>23615</v>
      </c>
      <c r="E833" s="3">
        <v>23280</v>
      </c>
      <c r="F833" s="3">
        <v>30</v>
      </c>
      <c r="G833" s="7">
        <f t="shared" si="116"/>
        <v>0</v>
      </c>
      <c r="H833" s="5">
        <f t="shared" si="111"/>
        <v>-1.5038864481243664E-2</v>
      </c>
      <c r="I833" s="4">
        <f t="shared" si="112"/>
        <v>1.4825956166738289E-2</v>
      </c>
      <c r="J833" s="4">
        <f t="shared" si="113"/>
        <v>-2.1128248468201987E-3</v>
      </c>
      <c r="K833" s="4">
        <f t="shared" si="114"/>
        <v>4.2973785990545768E-4</v>
      </c>
      <c r="L833" s="4">
        <f t="shared" si="115"/>
        <v>2</v>
      </c>
      <c r="M833" s="3">
        <f t="shared" si="108"/>
        <v>12</v>
      </c>
      <c r="N833" s="3">
        <f t="shared" si="109"/>
        <v>30</v>
      </c>
      <c r="O833" s="3">
        <f t="shared" si="110"/>
        <v>5</v>
      </c>
    </row>
    <row r="834" spans="1:15" x14ac:dyDescent="0.2">
      <c r="A834" s="2">
        <v>44928</v>
      </c>
      <c r="B834" s="3">
        <v>23733</v>
      </c>
      <c r="C834" s="3">
        <v>23510</v>
      </c>
      <c r="D834" s="3">
        <v>23790</v>
      </c>
      <c r="E834" s="3">
        <v>23510</v>
      </c>
      <c r="F834" s="3">
        <v>20</v>
      </c>
      <c r="G834" s="7">
        <f t="shared" si="116"/>
        <v>1</v>
      </c>
      <c r="H834" s="5">
        <f t="shared" si="111"/>
        <v>1.7884714359238291E-2</v>
      </c>
      <c r="I834" s="4">
        <f t="shared" si="112"/>
        <v>-4.4463264874020749E-3</v>
      </c>
      <c r="J834" s="4">
        <f t="shared" si="113"/>
        <v>7.4105441456701251E-3</v>
      </c>
      <c r="K834" s="4">
        <f t="shared" si="114"/>
        <v>9.8797250859106525E-3</v>
      </c>
      <c r="L834" s="4">
        <f t="shared" si="115"/>
        <v>-0.33333333333333331</v>
      </c>
      <c r="M834" s="3">
        <f t="shared" ref="M834:M897" si="117">MONTH(A834)</f>
        <v>1</v>
      </c>
      <c r="N834" s="3">
        <f t="shared" ref="N834:N897" si="118">DAY(A834)</f>
        <v>2</v>
      </c>
      <c r="O834" s="3">
        <f t="shared" ref="O834:O897" si="119">WEEKDAY(A834,2)</f>
        <v>1</v>
      </c>
    </row>
    <row r="835" spans="1:15" x14ac:dyDescent="0.2">
      <c r="A835" s="2">
        <v>44929</v>
      </c>
      <c r="B835" s="3">
        <v>24033</v>
      </c>
      <c r="C835" s="3">
        <v>23655</v>
      </c>
      <c r="D835" s="3">
        <v>24175</v>
      </c>
      <c r="E835" s="3">
        <v>23640</v>
      </c>
      <c r="F835" s="3">
        <v>50</v>
      </c>
      <c r="G835" s="7">
        <f t="shared" si="116"/>
        <v>1</v>
      </c>
      <c r="H835" s="5">
        <f t="shared" ref="H835:H898" si="120">(B835-B834)/B834</f>
        <v>1.2640626975097964E-2</v>
      </c>
      <c r="I835" s="4">
        <f t="shared" ref="I835:I898" si="121">(C835-C834)/C834</f>
        <v>6.1675882603147601E-3</v>
      </c>
      <c r="J835" s="4">
        <f t="shared" ref="J835:J898" si="122">(D835-D834)/D834</f>
        <v>1.6183270281630937E-2</v>
      </c>
      <c r="K835" s="4">
        <f t="shared" ref="K835:K898" si="123">(E835-E834)/E834</f>
        <v>5.5295618885580601E-3</v>
      </c>
      <c r="L835" s="4">
        <f t="shared" ref="L835:L898" si="124">(F835-F834)/F834</f>
        <v>1.5</v>
      </c>
      <c r="M835" s="3">
        <f t="shared" si="117"/>
        <v>1</v>
      </c>
      <c r="N835" s="3">
        <f t="shared" si="118"/>
        <v>3</v>
      </c>
      <c r="O835" s="3">
        <f t="shared" si="119"/>
        <v>2</v>
      </c>
    </row>
    <row r="836" spans="1:15" x14ac:dyDescent="0.2">
      <c r="A836" s="2">
        <v>44930</v>
      </c>
      <c r="B836" s="3">
        <v>24449</v>
      </c>
      <c r="C836" s="3">
        <v>24080</v>
      </c>
      <c r="D836" s="3">
        <v>24495</v>
      </c>
      <c r="E836" s="3">
        <v>24080</v>
      </c>
      <c r="F836" s="3">
        <v>40</v>
      </c>
      <c r="G836" s="7">
        <f t="shared" ref="G836:G899" si="125">IF(H836&lt;0, 0, 1)</f>
        <v>1</v>
      </c>
      <c r="H836" s="5">
        <f t="shared" si="120"/>
        <v>1.7309532725835311E-2</v>
      </c>
      <c r="I836" s="4">
        <f t="shared" si="121"/>
        <v>1.7966603255125765E-2</v>
      </c>
      <c r="J836" s="4">
        <f t="shared" si="122"/>
        <v>1.3236814891416752E-2</v>
      </c>
      <c r="K836" s="4">
        <f t="shared" si="123"/>
        <v>1.8612521150592216E-2</v>
      </c>
      <c r="L836" s="4">
        <f t="shared" si="124"/>
        <v>-0.2</v>
      </c>
      <c r="M836" s="3">
        <f t="shared" si="117"/>
        <v>1</v>
      </c>
      <c r="N836" s="3">
        <f t="shared" si="118"/>
        <v>4</v>
      </c>
      <c r="O836" s="3">
        <f t="shared" si="119"/>
        <v>3</v>
      </c>
    </row>
    <row r="837" spans="1:15" x14ac:dyDescent="0.2">
      <c r="A837" s="2">
        <v>44931</v>
      </c>
      <c r="B837" s="3">
        <v>24417</v>
      </c>
      <c r="C837" s="3">
        <v>24385</v>
      </c>
      <c r="D837" s="3">
        <v>24495</v>
      </c>
      <c r="E837" s="3">
        <v>24355</v>
      </c>
      <c r="F837" s="3">
        <v>30</v>
      </c>
      <c r="G837" s="7">
        <f t="shared" si="125"/>
        <v>0</v>
      </c>
      <c r="H837" s="5">
        <f t="shared" si="120"/>
        <v>-1.308846987606855E-3</v>
      </c>
      <c r="I837" s="4">
        <f t="shared" si="121"/>
        <v>1.2666112956810631E-2</v>
      </c>
      <c r="J837" s="4">
        <f t="shared" si="122"/>
        <v>0</v>
      </c>
      <c r="K837" s="4">
        <f t="shared" si="123"/>
        <v>1.1420265780730897E-2</v>
      </c>
      <c r="L837" s="4">
        <f t="shared" si="124"/>
        <v>-0.25</v>
      </c>
      <c r="M837" s="3">
        <f t="shared" si="117"/>
        <v>1</v>
      </c>
      <c r="N837" s="3">
        <f t="shared" si="118"/>
        <v>5</v>
      </c>
      <c r="O837" s="3">
        <f t="shared" si="119"/>
        <v>4</v>
      </c>
    </row>
    <row r="838" spans="1:15" x14ac:dyDescent="0.2">
      <c r="A838" s="2">
        <v>44932</v>
      </c>
      <c r="B838" s="3">
        <v>24760</v>
      </c>
      <c r="C838" s="3">
        <v>24520</v>
      </c>
      <c r="D838" s="3">
        <v>24810</v>
      </c>
      <c r="E838" s="3">
        <v>24440</v>
      </c>
      <c r="F838" s="3">
        <v>30</v>
      </c>
      <c r="G838" s="7">
        <f t="shared" si="125"/>
        <v>1</v>
      </c>
      <c r="H838" s="5">
        <f t="shared" si="120"/>
        <v>1.4047589793995986E-2</v>
      </c>
      <c r="I838" s="4">
        <f t="shared" si="121"/>
        <v>5.5361902809103955E-3</v>
      </c>
      <c r="J838" s="4">
        <f t="shared" si="122"/>
        <v>1.2859767299448868E-2</v>
      </c>
      <c r="K838" s="4">
        <f t="shared" si="123"/>
        <v>3.4900431122972695E-3</v>
      </c>
      <c r="L838" s="4">
        <f t="shared" si="124"/>
        <v>0</v>
      </c>
      <c r="M838" s="3">
        <f t="shared" si="117"/>
        <v>1</v>
      </c>
      <c r="N838" s="3">
        <f t="shared" si="118"/>
        <v>6</v>
      </c>
      <c r="O838" s="3">
        <f t="shared" si="119"/>
        <v>5</v>
      </c>
    </row>
    <row r="839" spans="1:15" x14ac:dyDescent="0.2">
      <c r="A839" s="2">
        <v>44935</v>
      </c>
      <c r="B839" s="3">
        <v>25007</v>
      </c>
      <c r="C839" s="3">
        <v>24870</v>
      </c>
      <c r="D839" s="3">
        <v>25045</v>
      </c>
      <c r="E839" s="3">
        <v>24870</v>
      </c>
      <c r="F839" s="3">
        <v>30</v>
      </c>
      <c r="G839" s="7">
        <f t="shared" si="125"/>
        <v>1</v>
      </c>
      <c r="H839" s="5">
        <f t="shared" si="120"/>
        <v>9.9757673667205168E-3</v>
      </c>
      <c r="I839" s="4">
        <f t="shared" si="121"/>
        <v>1.4274061990212071E-2</v>
      </c>
      <c r="J839" s="4">
        <f t="shared" si="122"/>
        <v>9.4719871019750095E-3</v>
      </c>
      <c r="K839" s="4">
        <f t="shared" si="123"/>
        <v>1.7594108019639936E-2</v>
      </c>
      <c r="L839" s="4">
        <f t="shared" si="124"/>
        <v>0</v>
      </c>
      <c r="M839" s="3">
        <f t="shared" si="117"/>
        <v>1</v>
      </c>
      <c r="N839" s="3">
        <f t="shared" si="118"/>
        <v>9</v>
      </c>
      <c r="O839" s="3">
        <f t="shared" si="119"/>
        <v>1</v>
      </c>
    </row>
    <row r="840" spans="1:15" x14ac:dyDescent="0.2">
      <c r="A840" s="2">
        <v>44936</v>
      </c>
      <c r="B840" s="3">
        <v>24975</v>
      </c>
      <c r="C840" s="3">
        <v>24855</v>
      </c>
      <c r="D840" s="3">
        <v>25015</v>
      </c>
      <c r="E840" s="3">
        <v>24855</v>
      </c>
      <c r="F840" s="3">
        <v>10</v>
      </c>
      <c r="G840" s="7">
        <f t="shared" si="125"/>
        <v>0</v>
      </c>
      <c r="H840" s="5">
        <f t="shared" si="120"/>
        <v>-1.2796417003239093E-3</v>
      </c>
      <c r="I840" s="4">
        <f t="shared" si="121"/>
        <v>-6.0313630880579007E-4</v>
      </c>
      <c r="J840" s="4">
        <f t="shared" si="122"/>
        <v>-1.1978438810141745E-3</v>
      </c>
      <c r="K840" s="4">
        <f t="shared" si="123"/>
        <v>-6.0313630880579007E-4</v>
      </c>
      <c r="L840" s="4">
        <f t="shared" si="124"/>
        <v>-0.66666666666666663</v>
      </c>
      <c r="M840" s="3">
        <f t="shared" si="117"/>
        <v>1</v>
      </c>
      <c r="N840" s="3">
        <f t="shared" si="118"/>
        <v>10</v>
      </c>
      <c r="O840" s="3">
        <f t="shared" si="119"/>
        <v>2</v>
      </c>
    </row>
    <row r="841" spans="1:15" x14ac:dyDescent="0.2">
      <c r="A841" s="2">
        <v>44937</v>
      </c>
      <c r="B841" s="3">
        <v>25122</v>
      </c>
      <c r="C841" s="3">
        <v>25110</v>
      </c>
      <c r="D841" s="3">
        <v>25185</v>
      </c>
      <c r="E841" s="3">
        <v>25095</v>
      </c>
      <c r="F841" s="3">
        <v>20</v>
      </c>
      <c r="G841" s="7">
        <f t="shared" si="125"/>
        <v>1</v>
      </c>
      <c r="H841" s="5">
        <f t="shared" si="120"/>
        <v>5.8858858858858859E-3</v>
      </c>
      <c r="I841" s="4">
        <f t="shared" si="121"/>
        <v>1.0259505129752565E-2</v>
      </c>
      <c r="J841" s="4">
        <f t="shared" si="122"/>
        <v>6.7959224465320807E-3</v>
      </c>
      <c r="K841" s="4">
        <f t="shared" si="123"/>
        <v>9.6560048280024142E-3</v>
      </c>
      <c r="L841" s="4">
        <f t="shared" si="124"/>
        <v>1</v>
      </c>
      <c r="M841" s="3">
        <f t="shared" si="117"/>
        <v>1</v>
      </c>
      <c r="N841" s="3">
        <f t="shared" si="118"/>
        <v>11</v>
      </c>
      <c r="O841" s="3">
        <f t="shared" si="119"/>
        <v>3</v>
      </c>
    </row>
    <row r="842" spans="1:15" x14ac:dyDescent="0.2">
      <c r="A842" s="2">
        <v>44938</v>
      </c>
      <c r="B842" s="3">
        <v>25352</v>
      </c>
      <c r="C842" s="3">
        <v>25335</v>
      </c>
      <c r="D842" s="3">
        <v>25420</v>
      </c>
      <c r="E842" s="3">
        <v>25270</v>
      </c>
      <c r="F842" s="3">
        <v>20</v>
      </c>
      <c r="G842" s="7">
        <f t="shared" si="125"/>
        <v>1</v>
      </c>
      <c r="H842" s="5">
        <f t="shared" si="120"/>
        <v>9.1553220285009156E-3</v>
      </c>
      <c r="I842" s="4">
        <f t="shared" si="121"/>
        <v>8.9605734767025085E-3</v>
      </c>
      <c r="J842" s="4">
        <f t="shared" si="122"/>
        <v>9.3309509628747272E-3</v>
      </c>
      <c r="K842" s="4">
        <f t="shared" si="123"/>
        <v>6.9735006973500697E-3</v>
      </c>
      <c r="L842" s="4">
        <f t="shared" si="124"/>
        <v>0</v>
      </c>
      <c r="M842" s="3">
        <f t="shared" si="117"/>
        <v>1</v>
      </c>
      <c r="N842" s="3">
        <f t="shared" si="118"/>
        <v>12</v>
      </c>
      <c r="O842" s="3">
        <f t="shared" si="119"/>
        <v>4</v>
      </c>
    </row>
    <row r="843" spans="1:15" x14ac:dyDescent="0.2">
      <c r="A843" s="2">
        <v>44939</v>
      </c>
      <c r="B843" s="3">
        <v>25379</v>
      </c>
      <c r="C843" s="3">
        <v>25425</v>
      </c>
      <c r="D843" s="3">
        <v>25475</v>
      </c>
      <c r="E843" s="3">
        <v>25275</v>
      </c>
      <c r="F843" s="3">
        <v>10</v>
      </c>
      <c r="G843" s="7">
        <f t="shared" si="125"/>
        <v>1</v>
      </c>
      <c r="H843" s="5">
        <f t="shared" si="120"/>
        <v>1.0650047333543705E-3</v>
      </c>
      <c r="I843" s="4">
        <f t="shared" si="121"/>
        <v>3.552397868561279E-3</v>
      </c>
      <c r="J843" s="4">
        <f t="shared" si="122"/>
        <v>2.1636506687647524E-3</v>
      </c>
      <c r="K843" s="4">
        <f t="shared" si="123"/>
        <v>1.9786307874950534E-4</v>
      </c>
      <c r="L843" s="4">
        <f t="shared" si="124"/>
        <v>-0.5</v>
      </c>
      <c r="M843" s="3">
        <f t="shared" si="117"/>
        <v>1</v>
      </c>
      <c r="N843" s="3">
        <f t="shared" si="118"/>
        <v>13</v>
      </c>
      <c r="O843" s="3">
        <f t="shared" si="119"/>
        <v>5</v>
      </c>
    </row>
    <row r="844" spans="1:15" x14ac:dyDescent="0.2">
      <c r="A844" s="2">
        <v>44942</v>
      </c>
      <c r="B844" s="3">
        <v>25505</v>
      </c>
      <c r="C844" s="3">
        <v>25410</v>
      </c>
      <c r="D844" s="3">
        <v>25495</v>
      </c>
      <c r="E844" s="3">
        <v>25410</v>
      </c>
      <c r="F844" s="3">
        <v>10</v>
      </c>
      <c r="G844" s="7">
        <f t="shared" si="125"/>
        <v>1</v>
      </c>
      <c r="H844" s="5">
        <f t="shared" si="120"/>
        <v>4.9647346231135982E-3</v>
      </c>
      <c r="I844" s="4">
        <f t="shared" si="121"/>
        <v>-5.8997050147492625E-4</v>
      </c>
      <c r="J844" s="4">
        <f t="shared" si="122"/>
        <v>7.8508341511285577E-4</v>
      </c>
      <c r="K844" s="4">
        <f t="shared" si="123"/>
        <v>5.341246290801187E-3</v>
      </c>
      <c r="L844" s="4">
        <f t="shared" si="124"/>
        <v>0</v>
      </c>
      <c r="M844" s="3">
        <f t="shared" si="117"/>
        <v>1</v>
      </c>
      <c r="N844" s="3">
        <f t="shared" si="118"/>
        <v>16</v>
      </c>
      <c r="O844" s="3">
        <f t="shared" si="119"/>
        <v>1</v>
      </c>
    </row>
    <row r="845" spans="1:15" x14ac:dyDescent="0.2">
      <c r="A845" s="2">
        <v>44943</v>
      </c>
      <c r="B845" s="3">
        <v>25561</v>
      </c>
      <c r="C845" s="3">
        <v>25590</v>
      </c>
      <c r="D845" s="3">
        <v>25655</v>
      </c>
      <c r="E845" s="3">
        <v>25405</v>
      </c>
      <c r="F845" s="3">
        <v>10</v>
      </c>
      <c r="G845" s="7">
        <f t="shared" si="125"/>
        <v>1</v>
      </c>
      <c r="H845" s="5">
        <f t="shared" si="120"/>
        <v>2.1956479121740835E-3</v>
      </c>
      <c r="I845" s="4">
        <f t="shared" si="121"/>
        <v>7.0838252656434475E-3</v>
      </c>
      <c r="J845" s="4">
        <f t="shared" si="122"/>
        <v>6.2757403412433809E-3</v>
      </c>
      <c r="K845" s="4">
        <f t="shared" si="123"/>
        <v>-1.9677292404565131E-4</v>
      </c>
      <c r="L845" s="4">
        <f t="shared" si="124"/>
        <v>0</v>
      </c>
      <c r="M845" s="3">
        <f t="shared" si="117"/>
        <v>1</v>
      </c>
      <c r="N845" s="3">
        <f t="shared" si="118"/>
        <v>17</v>
      </c>
      <c r="O845" s="3">
        <f t="shared" si="119"/>
        <v>2</v>
      </c>
    </row>
    <row r="846" spans="1:15" x14ac:dyDescent="0.2">
      <c r="A846" s="2">
        <v>44944</v>
      </c>
      <c r="B846" s="3">
        <v>25646</v>
      </c>
      <c r="C846" s="3">
        <v>25600</v>
      </c>
      <c r="D846" s="3">
        <v>25690</v>
      </c>
      <c r="E846" s="3">
        <v>25560</v>
      </c>
      <c r="F846" s="3">
        <v>10</v>
      </c>
      <c r="G846" s="7">
        <f t="shared" si="125"/>
        <v>1</v>
      </c>
      <c r="H846" s="5">
        <f t="shared" si="120"/>
        <v>3.325378506318219E-3</v>
      </c>
      <c r="I846" s="4">
        <f t="shared" si="121"/>
        <v>3.9077764751856197E-4</v>
      </c>
      <c r="J846" s="4">
        <f t="shared" si="122"/>
        <v>1.364256480218281E-3</v>
      </c>
      <c r="K846" s="4">
        <f t="shared" si="123"/>
        <v>6.1011611887423732E-3</v>
      </c>
      <c r="L846" s="4">
        <f t="shared" si="124"/>
        <v>0</v>
      </c>
      <c r="M846" s="3">
        <f t="shared" si="117"/>
        <v>1</v>
      </c>
      <c r="N846" s="3">
        <f t="shared" si="118"/>
        <v>18</v>
      </c>
      <c r="O846" s="3">
        <f t="shared" si="119"/>
        <v>3</v>
      </c>
    </row>
    <row r="847" spans="1:15" x14ac:dyDescent="0.2">
      <c r="A847" s="2">
        <v>44945</v>
      </c>
      <c r="B847" s="3">
        <v>25197</v>
      </c>
      <c r="C847" s="3">
        <v>25415</v>
      </c>
      <c r="D847" s="3">
        <v>25415</v>
      </c>
      <c r="E847" s="3">
        <v>25190</v>
      </c>
      <c r="F847" s="3">
        <v>30</v>
      </c>
      <c r="G847" s="7">
        <f t="shared" si="125"/>
        <v>0</v>
      </c>
      <c r="H847" s="5">
        <f t="shared" si="120"/>
        <v>-1.7507603524916166E-2</v>
      </c>
      <c r="I847" s="4">
        <f t="shared" si="121"/>
        <v>-7.2265625000000003E-3</v>
      </c>
      <c r="J847" s="4">
        <f t="shared" si="122"/>
        <v>-1.0704554301284546E-2</v>
      </c>
      <c r="K847" s="4">
        <f t="shared" si="123"/>
        <v>-1.4475743348982786E-2</v>
      </c>
      <c r="L847" s="4">
        <f t="shared" si="124"/>
        <v>2</v>
      </c>
      <c r="M847" s="3">
        <f t="shared" si="117"/>
        <v>1</v>
      </c>
      <c r="N847" s="3">
        <f t="shared" si="118"/>
        <v>19</v>
      </c>
      <c r="O847" s="3">
        <f t="shared" si="119"/>
        <v>4</v>
      </c>
    </row>
    <row r="848" spans="1:15" x14ac:dyDescent="0.2">
      <c r="A848" s="2">
        <v>44946</v>
      </c>
      <c r="B848" s="3">
        <v>25355</v>
      </c>
      <c r="C848" s="3">
        <v>25375</v>
      </c>
      <c r="D848" s="3">
        <v>25380</v>
      </c>
      <c r="E848" s="3">
        <v>25280</v>
      </c>
      <c r="F848" s="3">
        <v>10</v>
      </c>
      <c r="G848" s="7">
        <f t="shared" si="125"/>
        <v>1</v>
      </c>
      <c r="H848" s="5">
        <f t="shared" si="120"/>
        <v>6.2705877683851248E-3</v>
      </c>
      <c r="I848" s="4">
        <f t="shared" si="121"/>
        <v>-1.5738736966358449E-3</v>
      </c>
      <c r="J848" s="4">
        <f t="shared" si="122"/>
        <v>-1.3771394845563643E-3</v>
      </c>
      <c r="K848" s="4">
        <f t="shared" si="123"/>
        <v>3.5728463676061931E-3</v>
      </c>
      <c r="L848" s="4">
        <f t="shared" si="124"/>
        <v>-0.66666666666666663</v>
      </c>
      <c r="M848" s="3">
        <f t="shared" si="117"/>
        <v>1</v>
      </c>
      <c r="N848" s="3">
        <f t="shared" si="118"/>
        <v>20</v>
      </c>
      <c r="O848" s="3">
        <f t="shared" si="119"/>
        <v>5</v>
      </c>
    </row>
    <row r="849" spans="1:15" x14ac:dyDescent="0.2">
      <c r="A849" s="2">
        <v>44949</v>
      </c>
      <c r="B849" s="3">
        <v>25499</v>
      </c>
      <c r="C849" s="3">
        <v>25520</v>
      </c>
      <c r="D849" s="3">
        <v>25520</v>
      </c>
      <c r="E849" s="3">
        <v>25340</v>
      </c>
      <c r="F849" s="3">
        <v>20</v>
      </c>
      <c r="G849" s="7">
        <f t="shared" si="125"/>
        <v>1</v>
      </c>
      <c r="H849" s="5">
        <f t="shared" si="120"/>
        <v>5.6793531847761786E-3</v>
      </c>
      <c r="I849" s="4">
        <f t="shared" si="121"/>
        <v>5.7142857142857143E-3</v>
      </c>
      <c r="J849" s="4">
        <f t="shared" si="122"/>
        <v>5.5161544523246652E-3</v>
      </c>
      <c r="K849" s="4">
        <f t="shared" si="123"/>
        <v>2.3734177215189874E-3</v>
      </c>
      <c r="L849" s="4">
        <f t="shared" si="124"/>
        <v>1</v>
      </c>
      <c r="M849" s="3">
        <f t="shared" si="117"/>
        <v>1</v>
      </c>
      <c r="N849" s="3">
        <f t="shared" si="118"/>
        <v>23</v>
      </c>
      <c r="O849" s="3">
        <f t="shared" si="119"/>
        <v>1</v>
      </c>
    </row>
    <row r="850" spans="1:15" x14ac:dyDescent="0.2">
      <c r="A850" s="2">
        <v>44950</v>
      </c>
      <c r="B850" s="3">
        <v>25569</v>
      </c>
      <c r="C850" s="3">
        <v>25525</v>
      </c>
      <c r="D850" s="3">
        <v>25560</v>
      </c>
      <c r="E850" s="3">
        <v>25465</v>
      </c>
      <c r="F850" s="3">
        <v>10</v>
      </c>
      <c r="G850" s="7">
        <f t="shared" si="125"/>
        <v>1</v>
      </c>
      <c r="H850" s="5">
        <f t="shared" si="120"/>
        <v>2.7452056943409547E-3</v>
      </c>
      <c r="I850" s="4">
        <f t="shared" si="121"/>
        <v>1.9592476489028212E-4</v>
      </c>
      <c r="J850" s="4">
        <f t="shared" si="122"/>
        <v>1.567398119122257E-3</v>
      </c>
      <c r="K850" s="4">
        <f t="shared" si="123"/>
        <v>4.9329123914759274E-3</v>
      </c>
      <c r="L850" s="4">
        <f t="shared" si="124"/>
        <v>-0.5</v>
      </c>
      <c r="M850" s="3">
        <f t="shared" si="117"/>
        <v>1</v>
      </c>
      <c r="N850" s="3">
        <f t="shared" si="118"/>
        <v>24</v>
      </c>
      <c r="O850" s="3">
        <f t="shared" si="119"/>
        <v>2</v>
      </c>
    </row>
    <row r="851" spans="1:15" x14ac:dyDescent="0.2">
      <c r="A851" s="2">
        <v>44951</v>
      </c>
      <c r="B851" s="3">
        <v>25557</v>
      </c>
      <c r="C851" s="3">
        <v>25550</v>
      </c>
      <c r="D851" s="3">
        <v>25675</v>
      </c>
      <c r="E851" s="3">
        <v>25415</v>
      </c>
      <c r="F851" s="3">
        <v>20</v>
      </c>
      <c r="G851" s="7">
        <f t="shared" si="125"/>
        <v>0</v>
      </c>
      <c r="H851" s="5">
        <f t="shared" si="120"/>
        <v>-4.6931831514724861E-4</v>
      </c>
      <c r="I851" s="4">
        <f t="shared" si="121"/>
        <v>9.7943192948090111E-4</v>
      </c>
      <c r="J851" s="4">
        <f t="shared" si="122"/>
        <v>4.4992175273865414E-3</v>
      </c>
      <c r="K851" s="4">
        <f t="shared" si="123"/>
        <v>-1.9634792852935403E-3</v>
      </c>
      <c r="L851" s="4">
        <f t="shared" si="124"/>
        <v>1</v>
      </c>
      <c r="M851" s="3">
        <f t="shared" si="117"/>
        <v>1</v>
      </c>
      <c r="N851" s="3">
        <f t="shared" si="118"/>
        <v>25</v>
      </c>
      <c r="O851" s="3">
        <f t="shared" si="119"/>
        <v>3</v>
      </c>
    </row>
    <row r="852" spans="1:15" x14ac:dyDescent="0.2">
      <c r="A852" s="2">
        <v>44952</v>
      </c>
      <c r="B852" s="3">
        <v>25862</v>
      </c>
      <c r="C852" s="3">
        <v>25800</v>
      </c>
      <c r="D852" s="3">
        <v>25955</v>
      </c>
      <c r="E852" s="3">
        <v>25720</v>
      </c>
      <c r="F852" s="3">
        <v>90</v>
      </c>
      <c r="G852" s="7">
        <f t="shared" si="125"/>
        <v>1</v>
      </c>
      <c r="H852" s="5">
        <f t="shared" si="120"/>
        <v>1.1934108072152444E-2</v>
      </c>
      <c r="I852" s="4">
        <f t="shared" si="121"/>
        <v>9.7847358121330719E-3</v>
      </c>
      <c r="J852" s="4">
        <f t="shared" si="122"/>
        <v>1.0905550146056476E-2</v>
      </c>
      <c r="K852" s="4">
        <f t="shared" si="123"/>
        <v>1.2000786936848317E-2</v>
      </c>
      <c r="L852" s="4">
        <f t="shared" si="124"/>
        <v>3.5</v>
      </c>
      <c r="M852" s="3">
        <f t="shared" si="117"/>
        <v>1</v>
      </c>
      <c r="N852" s="3">
        <f t="shared" si="118"/>
        <v>26</v>
      </c>
      <c r="O852" s="3">
        <f t="shared" si="119"/>
        <v>4</v>
      </c>
    </row>
    <row r="853" spans="1:15" x14ac:dyDescent="0.2">
      <c r="A853" s="2">
        <v>44953</v>
      </c>
      <c r="B853" s="3">
        <v>26128</v>
      </c>
      <c r="C853" s="3">
        <v>25955</v>
      </c>
      <c r="D853" s="3">
        <v>26200</v>
      </c>
      <c r="E853" s="3">
        <v>25905</v>
      </c>
      <c r="F853" s="3">
        <v>70</v>
      </c>
      <c r="G853" s="7">
        <f t="shared" si="125"/>
        <v>1</v>
      </c>
      <c r="H853" s="5">
        <f t="shared" si="120"/>
        <v>1.028536076096203E-2</v>
      </c>
      <c r="I853" s="4">
        <f t="shared" si="121"/>
        <v>6.007751937984496E-3</v>
      </c>
      <c r="J853" s="4">
        <f t="shared" si="122"/>
        <v>9.4394143710267771E-3</v>
      </c>
      <c r="K853" s="4">
        <f t="shared" si="123"/>
        <v>7.1928460342146191E-3</v>
      </c>
      <c r="L853" s="4">
        <f t="shared" si="124"/>
        <v>-0.22222222222222221</v>
      </c>
      <c r="M853" s="3">
        <f t="shared" si="117"/>
        <v>1</v>
      </c>
      <c r="N853" s="3">
        <f t="shared" si="118"/>
        <v>27</v>
      </c>
      <c r="O853" s="3">
        <f t="shared" si="119"/>
        <v>5</v>
      </c>
    </row>
    <row r="854" spans="1:15" x14ac:dyDescent="0.2">
      <c r="A854" s="2">
        <v>44956</v>
      </c>
      <c r="B854" s="3">
        <v>26014</v>
      </c>
      <c r="C854" s="3">
        <v>26035</v>
      </c>
      <c r="D854" s="3">
        <v>26095</v>
      </c>
      <c r="E854" s="3">
        <v>25945</v>
      </c>
      <c r="F854" s="3">
        <v>360</v>
      </c>
      <c r="G854" s="7">
        <f t="shared" si="125"/>
        <v>0</v>
      </c>
      <c r="H854" s="5">
        <f t="shared" si="120"/>
        <v>-4.3631353337415801E-3</v>
      </c>
      <c r="I854" s="4">
        <f t="shared" si="121"/>
        <v>3.0822577538046621E-3</v>
      </c>
      <c r="J854" s="4">
        <f t="shared" si="122"/>
        <v>-4.0076335877862598E-3</v>
      </c>
      <c r="K854" s="4">
        <f t="shared" si="123"/>
        <v>1.5441034549314803E-3</v>
      </c>
      <c r="L854" s="4">
        <f t="shared" si="124"/>
        <v>4.1428571428571432</v>
      </c>
      <c r="M854" s="3">
        <f t="shared" si="117"/>
        <v>1</v>
      </c>
      <c r="N854" s="3">
        <f t="shared" si="118"/>
        <v>30</v>
      </c>
      <c r="O854" s="3">
        <f t="shared" si="119"/>
        <v>1</v>
      </c>
    </row>
    <row r="855" spans="1:15" x14ac:dyDescent="0.2">
      <c r="A855" s="2">
        <v>44957</v>
      </c>
      <c r="B855" s="3">
        <v>26237</v>
      </c>
      <c r="C855" s="3">
        <v>26095</v>
      </c>
      <c r="D855" s="3">
        <v>26390</v>
      </c>
      <c r="E855" s="3">
        <v>25900</v>
      </c>
      <c r="F855" s="3">
        <v>70</v>
      </c>
      <c r="G855" s="7">
        <f t="shared" si="125"/>
        <v>1</v>
      </c>
      <c r="H855" s="5">
        <f t="shared" si="120"/>
        <v>8.5723072191896676E-3</v>
      </c>
      <c r="I855" s="4">
        <f t="shared" si="121"/>
        <v>2.3045899750336087E-3</v>
      </c>
      <c r="J855" s="4">
        <f t="shared" si="122"/>
        <v>1.1304847671967809E-2</v>
      </c>
      <c r="K855" s="4">
        <f t="shared" si="123"/>
        <v>-1.7344382347273077E-3</v>
      </c>
      <c r="L855" s="4">
        <f t="shared" si="124"/>
        <v>-0.80555555555555558</v>
      </c>
      <c r="M855" s="3">
        <f t="shared" si="117"/>
        <v>1</v>
      </c>
      <c r="N855" s="3">
        <f t="shared" si="118"/>
        <v>31</v>
      </c>
      <c r="O855" s="3">
        <f t="shared" si="119"/>
        <v>2</v>
      </c>
    </row>
    <row r="856" spans="1:15" x14ac:dyDescent="0.2">
      <c r="A856" s="2">
        <v>44958</v>
      </c>
      <c r="B856" s="3">
        <v>26339</v>
      </c>
      <c r="C856" s="3">
        <v>26300</v>
      </c>
      <c r="D856" s="3">
        <v>26585</v>
      </c>
      <c r="E856" s="3">
        <v>26245</v>
      </c>
      <c r="F856" s="3">
        <v>80</v>
      </c>
      <c r="G856" s="7">
        <f t="shared" si="125"/>
        <v>1</v>
      </c>
      <c r="H856" s="5">
        <f t="shared" si="120"/>
        <v>3.887639592941266E-3</v>
      </c>
      <c r="I856" s="4">
        <f t="shared" si="121"/>
        <v>7.8559110940793261E-3</v>
      </c>
      <c r="J856" s="4">
        <f t="shared" si="122"/>
        <v>7.3891625615763543E-3</v>
      </c>
      <c r="K856" s="4">
        <f t="shared" si="123"/>
        <v>1.332046332046332E-2</v>
      </c>
      <c r="L856" s="4">
        <f t="shared" si="124"/>
        <v>0.14285714285714285</v>
      </c>
      <c r="M856" s="3">
        <f t="shared" si="117"/>
        <v>2</v>
      </c>
      <c r="N856" s="3">
        <f t="shared" si="118"/>
        <v>1</v>
      </c>
      <c r="O856" s="3">
        <f t="shared" si="119"/>
        <v>3</v>
      </c>
    </row>
    <row r="857" spans="1:15" x14ac:dyDescent="0.2">
      <c r="A857" s="2">
        <v>44959</v>
      </c>
      <c r="B857" s="3">
        <v>26742</v>
      </c>
      <c r="C857" s="3">
        <v>26530</v>
      </c>
      <c r="D857" s="3">
        <v>26760</v>
      </c>
      <c r="E857" s="3">
        <v>26470</v>
      </c>
      <c r="F857" s="3">
        <v>60</v>
      </c>
      <c r="G857" s="7">
        <f t="shared" si="125"/>
        <v>1</v>
      </c>
      <c r="H857" s="5">
        <f t="shared" si="120"/>
        <v>1.5300504954630017E-2</v>
      </c>
      <c r="I857" s="4">
        <f t="shared" si="121"/>
        <v>8.7452471482889742E-3</v>
      </c>
      <c r="J857" s="4">
        <f t="shared" si="122"/>
        <v>6.5826593943953361E-3</v>
      </c>
      <c r="K857" s="4">
        <f t="shared" si="123"/>
        <v>8.5730615355305781E-3</v>
      </c>
      <c r="L857" s="4">
        <f t="shared" si="124"/>
        <v>-0.25</v>
      </c>
      <c r="M857" s="3">
        <f t="shared" si="117"/>
        <v>2</v>
      </c>
      <c r="N857" s="3">
        <f t="shared" si="118"/>
        <v>2</v>
      </c>
      <c r="O857" s="3">
        <f t="shared" si="119"/>
        <v>4</v>
      </c>
    </row>
    <row r="858" spans="1:15" x14ac:dyDescent="0.2">
      <c r="A858" s="2">
        <v>44960</v>
      </c>
      <c r="B858" s="3">
        <v>26591</v>
      </c>
      <c r="C858" s="3">
        <v>26555</v>
      </c>
      <c r="D858" s="3">
        <v>26635</v>
      </c>
      <c r="E858" s="3">
        <v>26370</v>
      </c>
      <c r="F858" s="3">
        <v>50</v>
      </c>
      <c r="G858" s="7">
        <f t="shared" si="125"/>
        <v>0</v>
      </c>
      <c r="H858" s="5">
        <f t="shared" si="120"/>
        <v>-5.6465485004861269E-3</v>
      </c>
      <c r="I858" s="4">
        <f t="shared" si="121"/>
        <v>9.4232943837165473E-4</v>
      </c>
      <c r="J858" s="4">
        <f t="shared" si="122"/>
        <v>-4.6711509715994023E-3</v>
      </c>
      <c r="K858" s="4">
        <f t="shared" si="123"/>
        <v>-3.7778617302606727E-3</v>
      </c>
      <c r="L858" s="4">
        <f t="shared" si="124"/>
        <v>-0.16666666666666666</v>
      </c>
      <c r="M858" s="3">
        <f t="shared" si="117"/>
        <v>2</v>
      </c>
      <c r="N858" s="3">
        <f t="shared" si="118"/>
        <v>3</v>
      </c>
      <c r="O858" s="3">
        <f t="shared" si="119"/>
        <v>5</v>
      </c>
    </row>
    <row r="859" spans="1:15" x14ac:dyDescent="0.2">
      <c r="A859" s="2">
        <v>44963</v>
      </c>
      <c r="B859" s="3">
        <v>26614</v>
      </c>
      <c r="C859" s="3">
        <v>26435</v>
      </c>
      <c r="D859" s="3">
        <v>26660</v>
      </c>
      <c r="E859" s="3">
        <v>26335</v>
      </c>
      <c r="F859" s="3">
        <v>50</v>
      </c>
      <c r="G859" s="7">
        <f t="shared" si="125"/>
        <v>1</v>
      </c>
      <c r="H859" s="5">
        <f t="shared" si="120"/>
        <v>8.6495430784852014E-4</v>
      </c>
      <c r="I859" s="4">
        <f t="shared" si="121"/>
        <v>-4.518922990020712E-3</v>
      </c>
      <c r="J859" s="4">
        <f t="shared" si="122"/>
        <v>9.3861460484325138E-4</v>
      </c>
      <c r="K859" s="4">
        <f t="shared" si="123"/>
        <v>-1.3272658323852863E-3</v>
      </c>
      <c r="L859" s="4">
        <f t="shared" si="124"/>
        <v>0</v>
      </c>
      <c r="M859" s="3">
        <f t="shared" si="117"/>
        <v>2</v>
      </c>
      <c r="N859" s="3">
        <f t="shared" si="118"/>
        <v>6</v>
      </c>
      <c r="O859" s="3">
        <f t="shared" si="119"/>
        <v>1</v>
      </c>
    </row>
    <row r="860" spans="1:15" x14ac:dyDescent="0.2">
      <c r="A860" s="2">
        <v>44964</v>
      </c>
      <c r="B860" s="3">
        <v>26731</v>
      </c>
      <c r="C860" s="3">
        <v>26710</v>
      </c>
      <c r="D860" s="3">
        <v>26920</v>
      </c>
      <c r="E860" s="3">
        <v>26635</v>
      </c>
      <c r="F860" s="3">
        <v>50</v>
      </c>
      <c r="G860" s="7">
        <f t="shared" si="125"/>
        <v>1</v>
      </c>
      <c r="H860" s="5">
        <f t="shared" si="120"/>
        <v>4.3961824603592093E-3</v>
      </c>
      <c r="I860" s="4">
        <f t="shared" si="121"/>
        <v>1.0402874976357102E-2</v>
      </c>
      <c r="J860" s="4">
        <f t="shared" si="122"/>
        <v>9.7524381095273824E-3</v>
      </c>
      <c r="K860" s="4">
        <f t="shared" si="123"/>
        <v>1.1391684070628441E-2</v>
      </c>
      <c r="L860" s="4">
        <f t="shared" si="124"/>
        <v>0</v>
      </c>
      <c r="M860" s="3">
        <f t="shared" si="117"/>
        <v>2</v>
      </c>
      <c r="N860" s="3">
        <f t="shared" si="118"/>
        <v>7</v>
      </c>
      <c r="O860" s="3">
        <f t="shared" si="119"/>
        <v>2</v>
      </c>
    </row>
    <row r="861" spans="1:15" x14ac:dyDescent="0.2">
      <c r="A861" s="2">
        <v>44965</v>
      </c>
      <c r="B861" s="3">
        <v>26788</v>
      </c>
      <c r="C861" s="3">
        <v>26890</v>
      </c>
      <c r="D861" s="3">
        <v>26965</v>
      </c>
      <c r="E861" s="3">
        <v>26740</v>
      </c>
      <c r="F861" s="3">
        <v>50</v>
      </c>
      <c r="G861" s="7">
        <f t="shared" si="125"/>
        <v>1</v>
      </c>
      <c r="H861" s="5">
        <f t="shared" si="120"/>
        <v>2.1323556918933072E-3</v>
      </c>
      <c r="I861" s="4">
        <f t="shared" si="121"/>
        <v>6.7390490453013855E-3</v>
      </c>
      <c r="J861" s="4">
        <f t="shared" si="122"/>
        <v>1.6716196136701336E-3</v>
      </c>
      <c r="K861" s="4">
        <f t="shared" si="123"/>
        <v>3.9421813403416554E-3</v>
      </c>
      <c r="L861" s="4">
        <f t="shared" si="124"/>
        <v>0</v>
      </c>
      <c r="M861" s="3">
        <f t="shared" si="117"/>
        <v>2</v>
      </c>
      <c r="N861" s="3">
        <f t="shared" si="118"/>
        <v>8</v>
      </c>
      <c r="O861" s="3">
        <f t="shared" si="119"/>
        <v>3</v>
      </c>
    </row>
    <row r="862" spans="1:15" x14ac:dyDescent="0.2">
      <c r="A862" s="2">
        <v>44966</v>
      </c>
      <c r="B862" s="3">
        <v>27091</v>
      </c>
      <c r="C862" s="3">
        <v>26930</v>
      </c>
      <c r="D862" s="3">
        <v>27180</v>
      </c>
      <c r="E862" s="3">
        <v>26925</v>
      </c>
      <c r="F862" s="3">
        <v>70</v>
      </c>
      <c r="G862" s="7">
        <f t="shared" si="125"/>
        <v>1</v>
      </c>
      <c r="H862" s="5">
        <f t="shared" si="120"/>
        <v>1.1311034791697774E-2</v>
      </c>
      <c r="I862" s="4">
        <f t="shared" si="121"/>
        <v>1.4875418371141688E-3</v>
      </c>
      <c r="J862" s="4">
        <f t="shared" si="122"/>
        <v>7.973298720563694E-3</v>
      </c>
      <c r="K862" s="4">
        <f t="shared" si="123"/>
        <v>6.9184741959611067E-3</v>
      </c>
      <c r="L862" s="4">
        <f t="shared" si="124"/>
        <v>0.4</v>
      </c>
      <c r="M862" s="3">
        <f t="shared" si="117"/>
        <v>2</v>
      </c>
      <c r="N862" s="3">
        <f t="shared" si="118"/>
        <v>9</v>
      </c>
      <c r="O862" s="3">
        <f t="shared" si="119"/>
        <v>4</v>
      </c>
    </row>
    <row r="863" spans="1:15" x14ac:dyDescent="0.2">
      <c r="A863" s="2">
        <v>44967</v>
      </c>
      <c r="B863" s="3">
        <v>26865</v>
      </c>
      <c r="C863" s="3">
        <v>27060</v>
      </c>
      <c r="D863" s="3">
        <v>27160</v>
      </c>
      <c r="E863" s="3">
        <v>26760</v>
      </c>
      <c r="F863" s="3">
        <v>60</v>
      </c>
      <c r="G863" s="7">
        <f t="shared" si="125"/>
        <v>0</v>
      </c>
      <c r="H863" s="5">
        <f t="shared" si="120"/>
        <v>-8.3422538850540778E-3</v>
      </c>
      <c r="I863" s="4">
        <f t="shared" si="121"/>
        <v>4.8273301151132569E-3</v>
      </c>
      <c r="J863" s="4">
        <f t="shared" si="122"/>
        <v>-7.3583517292126564E-4</v>
      </c>
      <c r="K863" s="4">
        <f t="shared" si="123"/>
        <v>-6.128133704735376E-3</v>
      </c>
      <c r="L863" s="4">
        <f t="shared" si="124"/>
        <v>-0.14285714285714285</v>
      </c>
      <c r="M863" s="3">
        <f t="shared" si="117"/>
        <v>2</v>
      </c>
      <c r="N863" s="3">
        <f t="shared" si="118"/>
        <v>10</v>
      </c>
      <c r="O863" s="3">
        <f t="shared" si="119"/>
        <v>5</v>
      </c>
    </row>
    <row r="864" spans="1:15" x14ac:dyDescent="0.2">
      <c r="A864" s="2">
        <v>44970</v>
      </c>
      <c r="B864" s="3">
        <v>27034</v>
      </c>
      <c r="C864" s="3">
        <v>26930</v>
      </c>
      <c r="D864" s="3">
        <v>27060</v>
      </c>
      <c r="E864" s="3">
        <v>26930</v>
      </c>
      <c r="F864" s="3">
        <v>40</v>
      </c>
      <c r="G864" s="7">
        <f t="shared" si="125"/>
        <v>1</v>
      </c>
      <c r="H864" s="5">
        <f t="shared" si="120"/>
        <v>6.2907128233761402E-3</v>
      </c>
      <c r="I864" s="4">
        <f t="shared" si="121"/>
        <v>-4.8041389504804143E-3</v>
      </c>
      <c r="J864" s="4">
        <f t="shared" si="122"/>
        <v>-3.6818851251840942E-3</v>
      </c>
      <c r="K864" s="4">
        <f t="shared" si="123"/>
        <v>6.3527653213751867E-3</v>
      </c>
      <c r="L864" s="4">
        <f t="shared" si="124"/>
        <v>-0.33333333333333331</v>
      </c>
      <c r="M864" s="3">
        <f t="shared" si="117"/>
        <v>2</v>
      </c>
      <c r="N864" s="3">
        <f t="shared" si="118"/>
        <v>13</v>
      </c>
      <c r="O864" s="3">
        <f t="shared" si="119"/>
        <v>1</v>
      </c>
    </row>
    <row r="865" spans="1:15" x14ac:dyDescent="0.2">
      <c r="A865" s="2">
        <v>44971</v>
      </c>
      <c r="B865" s="3">
        <v>27114</v>
      </c>
      <c r="C865" s="3">
        <v>27100</v>
      </c>
      <c r="D865" s="3">
        <v>27245</v>
      </c>
      <c r="E865" s="3">
        <v>27035</v>
      </c>
      <c r="F865" s="3">
        <v>70</v>
      </c>
      <c r="G865" s="7">
        <f t="shared" si="125"/>
        <v>1</v>
      </c>
      <c r="H865" s="5">
        <f t="shared" si="120"/>
        <v>2.9592365169786197E-3</v>
      </c>
      <c r="I865" s="4">
        <f t="shared" si="121"/>
        <v>6.3126624582250275E-3</v>
      </c>
      <c r="J865" s="4">
        <f t="shared" si="122"/>
        <v>6.8366592756836661E-3</v>
      </c>
      <c r="K865" s="4">
        <f t="shared" si="123"/>
        <v>3.8989974006683995E-3</v>
      </c>
      <c r="L865" s="4">
        <f t="shared" si="124"/>
        <v>0.75</v>
      </c>
      <c r="M865" s="3">
        <f t="shared" si="117"/>
        <v>2</v>
      </c>
      <c r="N865" s="3">
        <f t="shared" si="118"/>
        <v>14</v>
      </c>
      <c r="O865" s="3">
        <f t="shared" si="119"/>
        <v>2</v>
      </c>
    </row>
    <row r="866" spans="1:15" x14ac:dyDescent="0.2">
      <c r="A866" s="2">
        <v>44972</v>
      </c>
      <c r="B866" s="3">
        <v>27145</v>
      </c>
      <c r="C866" s="3">
        <v>27100</v>
      </c>
      <c r="D866" s="3">
        <v>27200</v>
      </c>
      <c r="E866" s="3">
        <v>27020</v>
      </c>
      <c r="F866" s="3">
        <v>80</v>
      </c>
      <c r="G866" s="7">
        <f t="shared" si="125"/>
        <v>1</v>
      </c>
      <c r="H866" s="5">
        <f t="shared" si="120"/>
        <v>1.1433207936859186E-3</v>
      </c>
      <c r="I866" s="4">
        <f t="shared" si="121"/>
        <v>0</v>
      </c>
      <c r="J866" s="4">
        <f t="shared" si="122"/>
        <v>-1.6516792071939806E-3</v>
      </c>
      <c r="K866" s="4">
        <f t="shared" si="123"/>
        <v>-5.5483632328463101E-4</v>
      </c>
      <c r="L866" s="4">
        <f t="shared" si="124"/>
        <v>0.14285714285714285</v>
      </c>
      <c r="M866" s="3">
        <f t="shared" si="117"/>
        <v>2</v>
      </c>
      <c r="N866" s="3">
        <f t="shared" si="118"/>
        <v>15</v>
      </c>
      <c r="O866" s="3">
        <f t="shared" si="119"/>
        <v>3</v>
      </c>
    </row>
    <row r="867" spans="1:15" x14ac:dyDescent="0.2">
      <c r="A867" s="2">
        <v>44973</v>
      </c>
      <c r="B867" s="3">
        <v>27449</v>
      </c>
      <c r="C867" s="3">
        <v>27260</v>
      </c>
      <c r="D867" s="3">
        <v>27500</v>
      </c>
      <c r="E867" s="3">
        <v>27200</v>
      </c>
      <c r="F867" s="3">
        <v>40</v>
      </c>
      <c r="G867" s="7">
        <f t="shared" si="125"/>
        <v>1</v>
      </c>
      <c r="H867" s="5">
        <f t="shared" si="120"/>
        <v>1.1199115859274267E-2</v>
      </c>
      <c r="I867" s="4">
        <f t="shared" si="121"/>
        <v>5.9040590405904057E-3</v>
      </c>
      <c r="J867" s="4">
        <f t="shared" si="122"/>
        <v>1.1029411764705883E-2</v>
      </c>
      <c r="K867" s="4">
        <f t="shared" si="123"/>
        <v>6.6617320503330867E-3</v>
      </c>
      <c r="L867" s="4">
        <f t="shared" si="124"/>
        <v>-0.5</v>
      </c>
      <c r="M867" s="3">
        <f t="shared" si="117"/>
        <v>2</v>
      </c>
      <c r="N867" s="3">
        <f t="shared" si="118"/>
        <v>16</v>
      </c>
      <c r="O867" s="3">
        <f t="shared" si="119"/>
        <v>4</v>
      </c>
    </row>
    <row r="868" spans="1:15" x14ac:dyDescent="0.2">
      <c r="A868" s="2">
        <v>44974</v>
      </c>
      <c r="B868" s="3">
        <v>27354</v>
      </c>
      <c r="C868" s="3">
        <v>27265</v>
      </c>
      <c r="D868" s="3">
        <v>27435</v>
      </c>
      <c r="E868" s="3">
        <v>27160</v>
      </c>
      <c r="F868" s="3">
        <v>40</v>
      </c>
      <c r="G868" s="7">
        <f t="shared" si="125"/>
        <v>0</v>
      </c>
      <c r="H868" s="5">
        <f t="shared" si="120"/>
        <v>-3.4609639695435171E-3</v>
      </c>
      <c r="I868" s="4">
        <f t="shared" si="121"/>
        <v>1.8341892883345562E-4</v>
      </c>
      <c r="J868" s="4">
        <f t="shared" si="122"/>
        <v>-2.3636363636363638E-3</v>
      </c>
      <c r="K868" s="4">
        <f t="shared" si="123"/>
        <v>-1.4705882352941176E-3</v>
      </c>
      <c r="L868" s="4">
        <f t="shared" si="124"/>
        <v>0</v>
      </c>
      <c r="M868" s="3">
        <f t="shared" si="117"/>
        <v>2</v>
      </c>
      <c r="N868" s="3">
        <f t="shared" si="118"/>
        <v>17</v>
      </c>
      <c r="O868" s="3">
        <f t="shared" si="119"/>
        <v>5</v>
      </c>
    </row>
    <row r="869" spans="1:15" x14ac:dyDescent="0.2">
      <c r="A869" s="2">
        <v>44977</v>
      </c>
      <c r="B869" s="3">
        <v>27226</v>
      </c>
      <c r="C869" s="3">
        <v>27415</v>
      </c>
      <c r="D869" s="3">
        <v>27415</v>
      </c>
      <c r="E869" s="3">
        <v>27170</v>
      </c>
      <c r="F869" s="3">
        <v>60</v>
      </c>
      <c r="G869" s="7">
        <f t="shared" si="125"/>
        <v>0</v>
      </c>
      <c r="H869" s="5">
        <f t="shared" si="120"/>
        <v>-4.6793887548438988E-3</v>
      </c>
      <c r="I869" s="4">
        <f t="shared" si="121"/>
        <v>5.5015587749862463E-3</v>
      </c>
      <c r="J869" s="4">
        <f t="shared" si="122"/>
        <v>-7.2899580827410246E-4</v>
      </c>
      <c r="K869" s="4">
        <f t="shared" si="123"/>
        <v>3.6818851251840942E-4</v>
      </c>
      <c r="L869" s="4">
        <f t="shared" si="124"/>
        <v>0.5</v>
      </c>
      <c r="M869" s="3">
        <f t="shared" si="117"/>
        <v>2</v>
      </c>
      <c r="N869" s="3">
        <f t="shared" si="118"/>
        <v>20</v>
      </c>
      <c r="O869" s="3">
        <f t="shared" si="119"/>
        <v>1</v>
      </c>
    </row>
    <row r="870" spans="1:15" x14ac:dyDescent="0.2">
      <c r="A870" s="2">
        <v>44978</v>
      </c>
      <c r="B870" s="3">
        <v>27018</v>
      </c>
      <c r="C870" s="3">
        <v>27115</v>
      </c>
      <c r="D870" s="3">
        <v>27165</v>
      </c>
      <c r="E870" s="3">
        <v>26865</v>
      </c>
      <c r="F870" s="3">
        <v>30</v>
      </c>
      <c r="G870" s="7">
        <f t="shared" si="125"/>
        <v>0</v>
      </c>
      <c r="H870" s="5">
        <f t="shared" si="120"/>
        <v>-7.6397561154778523E-3</v>
      </c>
      <c r="I870" s="4">
        <f t="shared" si="121"/>
        <v>-1.0942914462885282E-2</v>
      </c>
      <c r="J870" s="4">
        <f t="shared" si="122"/>
        <v>-9.1190953857377341E-3</v>
      </c>
      <c r="K870" s="4">
        <f t="shared" si="123"/>
        <v>-1.1225616488774383E-2</v>
      </c>
      <c r="L870" s="4">
        <f t="shared" si="124"/>
        <v>-0.5</v>
      </c>
      <c r="M870" s="3">
        <f t="shared" si="117"/>
        <v>2</v>
      </c>
      <c r="N870" s="3">
        <f t="shared" si="118"/>
        <v>21</v>
      </c>
      <c r="O870" s="3">
        <f t="shared" si="119"/>
        <v>2</v>
      </c>
    </row>
    <row r="871" spans="1:15" x14ac:dyDescent="0.2">
      <c r="A871" s="2">
        <v>44979</v>
      </c>
      <c r="B871" s="3">
        <v>26706</v>
      </c>
      <c r="C871" s="3">
        <v>26840</v>
      </c>
      <c r="D871" s="3">
        <v>26965</v>
      </c>
      <c r="E871" s="3">
        <v>26495</v>
      </c>
      <c r="F871" s="3">
        <v>60</v>
      </c>
      <c r="G871" s="7">
        <f t="shared" si="125"/>
        <v>0</v>
      </c>
      <c r="H871" s="5">
        <f t="shared" si="120"/>
        <v>-1.1547856984232734E-2</v>
      </c>
      <c r="I871" s="4">
        <f t="shared" si="121"/>
        <v>-1.0141987829614604E-2</v>
      </c>
      <c r="J871" s="4">
        <f t="shared" si="122"/>
        <v>-7.362414872078042E-3</v>
      </c>
      <c r="K871" s="4">
        <f t="shared" si="123"/>
        <v>-1.3772566536385632E-2</v>
      </c>
      <c r="L871" s="4">
        <f t="shared" si="124"/>
        <v>1</v>
      </c>
      <c r="M871" s="3">
        <f t="shared" si="117"/>
        <v>2</v>
      </c>
      <c r="N871" s="3">
        <f t="shared" si="118"/>
        <v>22</v>
      </c>
      <c r="O871" s="3">
        <f t="shared" si="119"/>
        <v>3</v>
      </c>
    </row>
    <row r="872" spans="1:15" x14ac:dyDescent="0.2">
      <c r="A872" s="2">
        <v>44980</v>
      </c>
      <c r="B872" s="3">
        <v>26866</v>
      </c>
      <c r="C872" s="3">
        <v>26920</v>
      </c>
      <c r="D872" s="3">
        <v>27000</v>
      </c>
      <c r="E872" s="3">
        <v>26805</v>
      </c>
      <c r="F872" s="3">
        <v>50</v>
      </c>
      <c r="G872" s="7">
        <f t="shared" si="125"/>
        <v>1</v>
      </c>
      <c r="H872" s="5">
        <f t="shared" si="120"/>
        <v>5.991163034524077E-3</v>
      </c>
      <c r="I872" s="4">
        <f t="shared" si="121"/>
        <v>2.9806259314456036E-3</v>
      </c>
      <c r="J872" s="4">
        <f t="shared" si="122"/>
        <v>1.297978861487113E-3</v>
      </c>
      <c r="K872" s="4">
        <f t="shared" si="123"/>
        <v>1.1700320815248161E-2</v>
      </c>
      <c r="L872" s="4">
        <f t="shared" si="124"/>
        <v>-0.16666666666666666</v>
      </c>
      <c r="M872" s="3">
        <f t="shared" si="117"/>
        <v>2</v>
      </c>
      <c r="N872" s="3">
        <f t="shared" si="118"/>
        <v>23</v>
      </c>
      <c r="O872" s="3">
        <f t="shared" si="119"/>
        <v>4</v>
      </c>
    </row>
    <row r="873" spans="1:15" x14ac:dyDescent="0.2">
      <c r="A873" s="2">
        <v>44981</v>
      </c>
      <c r="B873" s="3">
        <v>26567</v>
      </c>
      <c r="C873" s="3">
        <v>26975</v>
      </c>
      <c r="D873" s="3">
        <v>26975</v>
      </c>
      <c r="E873" s="3">
        <v>26590</v>
      </c>
      <c r="F873" s="3">
        <v>40</v>
      </c>
      <c r="G873" s="7">
        <f t="shared" si="125"/>
        <v>0</v>
      </c>
      <c r="H873" s="5">
        <f t="shared" si="120"/>
        <v>-1.1129308419563761E-2</v>
      </c>
      <c r="I873" s="4">
        <f t="shared" si="121"/>
        <v>2.0430906389301636E-3</v>
      </c>
      <c r="J873" s="4">
        <f t="shared" si="122"/>
        <v>-9.2592592592592596E-4</v>
      </c>
      <c r="K873" s="4">
        <f t="shared" si="123"/>
        <v>-8.020891624696885E-3</v>
      </c>
      <c r="L873" s="4">
        <f t="shared" si="124"/>
        <v>-0.2</v>
      </c>
      <c r="M873" s="3">
        <f t="shared" si="117"/>
        <v>2</v>
      </c>
      <c r="N873" s="3">
        <f t="shared" si="118"/>
        <v>24</v>
      </c>
      <c r="O873" s="3">
        <f t="shared" si="119"/>
        <v>5</v>
      </c>
    </row>
    <row r="874" spans="1:15" x14ac:dyDescent="0.2">
      <c r="A874" s="2">
        <v>44984</v>
      </c>
      <c r="B874" s="3">
        <v>27023</v>
      </c>
      <c r="C874" s="3">
        <v>26970</v>
      </c>
      <c r="D874" s="3">
        <v>27085</v>
      </c>
      <c r="E874" s="3">
        <v>26670</v>
      </c>
      <c r="F874" s="3">
        <v>40</v>
      </c>
      <c r="G874" s="7">
        <f t="shared" si="125"/>
        <v>1</v>
      </c>
      <c r="H874" s="5">
        <f t="shared" si="120"/>
        <v>1.716415101441638E-2</v>
      </c>
      <c r="I874" s="4">
        <f t="shared" si="121"/>
        <v>-1.8535681186283596E-4</v>
      </c>
      <c r="J874" s="4">
        <f t="shared" si="122"/>
        <v>4.077849860982391E-3</v>
      </c>
      <c r="K874" s="4">
        <f t="shared" si="123"/>
        <v>3.0086498683715682E-3</v>
      </c>
      <c r="L874" s="4">
        <f t="shared" si="124"/>
        <v>0</v>
      </c>
      <c r="M874" s="3">
        <f t="shared" si="117"/>
        <v>2</v>
      </c>
      <c r="N874" s="3">
        <f t="shared" si="118"/>
        <v>27</v>
      </c>
      <c r="O874" s="3">
        <f t="shared" si="119"/>
        <v>1</v>
      </c>
    </row>
    <row r="875" spans="1:15" x14ac:dyDescent="0.2">
      <c r="A875" s="2">
        <v>44985</v>
      </c>
      <c r="B875" s="3">
        <v>27045</v>
      </c>
      <c r="C875" s="3">
        <v>26890</v>
      </c>
      <c r="D875" s="3">
        <v>27210</v>
      </c>
      <c r="E875" s="3">
        <v>26890</v>
      </c>
      <c r="F875" s="3">
        <v>30</v>
      </c>
      <c r="G875" s="7">
        <f t="shared" si="125"/>
        <v>1</v>
      </c>
      <c r="H875" s="5">
        <f t="shared" si="120"/>
        <v>8.1412130407430708E-4</v>
      </c>
      <c r="I875" s="4">
        <f t="shared" si="121"/>
        <v>-2.9662588060808304E-3</v>
      </c>
      <c r="J875" s="4">
        <f t="shared" si="122"/>
        <v>4.6151006091932805E-3</v>
      </c>
      <c r="K875" s="4">
        <f t="shared" si="123"/>
        <v>8.2489688788901384E-3</v>
      </c>
      <c r="L875" s="4">
        <f t="shared" si="124"/>
        <v>-0.25</v>
      </c>
      <c r="M875" s="3">
        <f t="shared" si="117"/>
        <v>2</v>
      </c>
      <c r="N875" s="3">
        <f t="shared" si="118"/>
        <v>28</v>
      </c>
      <c r="O875" s="3">
        <f t="shared" si="119"/>
        <v>2</v>
      </c>
    </row>
    <row r="876" spans="1:15" x14ac:dyDescent="0.2">
      <c r="A876" s="2">
        <v>44986</v>
      </c>
      <c r="B876" s="3">
        <v>26859</v>
      </c>
      <c r="C876" s="3">
        <v>27110</v>
      </c>
      <c r="D876" s="3">
        <v>27250</v>
      </c>
      <c r="E876" s="3">
        <v>26810</v>
      </c>
      <c r="F876" s="3">
        <v>180</v>
      </c>
      <c r="G876" s="7">
        <f t="shared" si="125"/>
        <v>0</v>
      </c>
      <c r="H876" s="5">
        <f t="shared" si="120"/>
        <v>-6.8774265113699393E-3</v>
      </c>
      <c r="I876" s="4">
        <f t="shared" si="121"/>
        <v>8.1814801041279282E-3</v>
      </c>
      <c r="J876" s="4">
        <f t="shared" si="122"/>
        <v>1.4700477765527381E-3</v>
      </c>
      <c r="K876" s="4">
        <f t="shared" si="123"/>
        <v>-2.9750836742283376E-3</v>
      </c>
      <c r="L876" s="4">
        <f t="shared" si="124"/>
        <v>5</v>
      </c>
      <c r="M876" s="3">
        <f t="shared" si="117"/>
        <v>3</v>
      </c>
      <c r="N876" s="3">
        <f t="shared" si="118"/>
        <v>1</v>
      </c>
      <c r="O876" s="3">
        <f t="shared" si="119"/>
        <v>3</v>
      </c>
    </row>
    <row r="877" spans="1:15" x14ac:dyDescent="0.2">
      <c r="A877" s="2">
        <v>44987</v>
      </c>
      <c r="B877" s="3">
        <v>26952</v>
      </c>
      <c r="C877" s="3">
        <v>26765</v>
      </c>
      <c r="D877" s="3">
        <v>27110</v>
      </c>
      <c r="E877" s="3">
        <v>26625</v>
      </c>
      <c r="F877" s="3">
        <v>230</v>
      </c>
      <c r="G877" s="7">
        <f t="shared" si="125"/>
        <v>1</v>
      </c>
      <c r="H877" s="5">
        <f t="shared" si="120"/>
        <v>3.4625265274209763E-3</v>
      </c>
      <c r="I877" s="4">
        <f t="shared" si="121"/>
        <v>-1.2725931390630763E-2</v>
      </c>
      <c r="J877" s="4">
        <f t="shared" si="122"/>
        <v>-5.1376146788990823E-3</v>
      </c>
      <c r="K877" s="4">
        <f t="shared" si="123"/>
        <v>-6.9004102946661691E-3</v>
      </c>
      <c r="L877" s="4">
        <f t="shared" si="124"/>
        <v>0.27777777777777779</v>
      </c>
      <c r="M877" s="3">
        <f t="shared" si="117"/>
        <v>3</v>
      </c>
      <c r="N877" s="3">
        <f t="shared" si="118"/>
        <v>2</v>
      </c>
      <c r="O877" s="3">
        <f t="shared" si="119"/>
        <v>4</v>
      </c>
    </row>
    <row r="878" spans="1:15" x14ac:dyDescent="0.2">
      <c r="A878" s="2">
        <v>44988</v>
      </c>
      <c r="B878" s="3">
        <v>27370</v>
      </c>
      <c r="C878" s="3">
        <v>27105</v>
      </c>
      <c r="D878" s="3">
        <v>27490</v>
      </c>
      <c r="E878" s="3">
        <v>27105</v>
      </c>
      <c r="F878" s="3">
        <v>230</v>
      </c>
      <c r="G878" s="7">
        <f t="shared" si="125"/>
        <v>1</v>
      </c>
      <c r="H878" s="5">
        <f t="shared" si="120"/>
        <v>1.5509053131493025E-2</v>
      </c>
      <c r="I878" s="4">
        <f t="shared" si="121"/>
        <v>1.2703157108163646E-2</v>
      </c>
      <c r="J878" s="4">
        <f t="shared" si="122"/>
        <v>1.4016967908520842E-2</v>
      </c>
      <c r="K878" s="4">
        <f t="shared" si="123"/>
        <v>1.8028169014084508E-2</v>
      </c>
      <c r="L878" s="4">
        <f t="shared" si="124"/>
        <v>0</v>
      </c>
      <c r="M878" s="3">
        <f t="shared" si="117"/>
        <v>3</v>
      </c>
      <c r="N878" s="3">
        <f t="shared" si="118"/>
        <v>3</v>
      </c>
      <c r="O878" s="3">
        <f t="shared" si="119"/>
        <v>5</v>
      </c>
    </row>
    <row r="879" spans="1:15" x14ac:dyDescent="0.2">
      <c r="A879" s="2">
        <v>44991</v>
      </c>
      <c r="B879" s="3">
        <v>27480</v>
      </c>
      <c r="C879" s="3">
        <v>27500</v>
      </c>
      <c r="D879" s="3">
        <v>27545</v>
      </c>
      <c r="E879" s="3">
        <v>27370</v>
      </c>
      <c r="F879" s="3">
        <v>160</v>
      </c>
      <c r="G879" s="7">
        <f t="shared" si="125"/>
        <v>1</v>
      </c>
      <c r="H879" s="5">
        <f t="shared" si="120"/>
        <v>4.0189989039093902E-3</v>
      </c>
      <c r="I879" s="4">
        <f t="shared" si="121"/>
        <v>1.4572957019000184E-2</v>
      </c>
      <c r="J879" s="4">
        <f t="shared" si="122"/>
        <v>2.0007275372862861E-3</v>
      </c>
      <c r="K879" s="4">
        <f t="shared" si="123"/>
        <v>9.7767939494558202E-3</v>
      </c>
      <c r="L879" s="4">
        <f t="shared" si="124"/>
        <v>-0.30434782608695654</v>
      </c>
      <c r="M879" s="3">
        <f t="shared" si="117"/>
        <v>3</v>
      </c>
      <c r="N879" s="3">
        <f t="shared" si="118"/>
        <v>6</v>
      </c>
      <c r="O879" s="3">
        <f t="shared" si="119"/>
        <v>1</v>
      </c>
    </row>
    <row r="880" spans="1:15" x14ac:dyDescent="0.2">
      <c r="A880" s="2">
        <v>44992</v>
      </c>
      <c r="B880" s="3">
        <v>27308</v>
      </c>
      <c r="C880" s="3">
        <v>27410</v>
      </c>
      <c r="D880" s="3">
        <v>27540</v>
      </c>
      <c r="E880" s="3">
        <v>27315</v>
      </c>
      <c r="F880" s="3">
        <v>310</v>
      </c>
      <c r="G880" s="7">
        <f t="shared" si="125"/>
        <v>0</v>
      </c>
      <c r="H880" s="5">
        <f t="shared" si="120"/>
        <v>-6.2590975254730712E-3</v>
      </c>
      <c r="I880" s="4">
        <f t="shared" si="121"/>
        <v>-3.2727272727272726E-3</v>
      </c>
      <c r="J880" s="4">
        <f t="shared" si="122"/>
        <v>-1.8152114721365039E-4</v>
      </c>
      <c r="K880" s="4">
        <f t="shared" si="123"/>
        <v>-2.0094994519546951E-3</v>
      </c>
      <c r="L880" s="4">
        <f t="shared" si="124"/>
        <v>0.9375</v>
      </c>
      <c r="M880" s="3">
        <f t="shared" si="117"/>
        <v>3</v>
      </c>
      <c r="N880" s="3">
        <f t="shared" si="118"/>
        <v>7</v>
      </c>
      <c r="O880" s="3">
        <f t="shared" si="119"/>
        <v>2</v>
      </c>
    </row>
    <row r="881" spans="1:15" x14ac:dyDescent="0.2">
      <c r="A881" s="2">
        <v>44993</v>
      </c>
      <c r="B881" s="3">
        <v>27442</v>
      </c>
      <c r="C881" s="3">
        <v>27190</v>
      </c>
      <c r="D881" s="3">
        <v>27485</v>
      </c>
      <c r="E881" s="3">
        <v>27190</v>
      </c>
      <c r="F881" s="3">
        <v>200</v>
      </c>
      <c r="G881" s="7">
        <f t="shared" si="125"/>
        <v>1</v>
      </c>
      <c r="H881" s="5">
        <f t="shared" si="120"/>
        <v>4.9069869635271716E-3</v>
      </c>
      <c r="I881" s="4">
        <f t="shared" si="121"/>
        <v>-8.0262677854797525E-3</v>
      </c>
      <c r="J881" s="4">
        <f t="shared" si="122"/>
        <v>-1.9970951343500363E-3</v>
      </c>
      <c r="K881" s="4">
        <f t="shared" si="123"/>
        <v>-4.5762401610836539E-3</v>
      </c>
      <c r="L881" s="4">
        <f t="shared" si="124"/>
        <v>-0.35483870967741937</v>
      </c>
      <c r="M881" s="3">
        <f t="shared" si="117"/>
        <v>3</v>
      </c>
      <c r="N881" s="3">
        <f t="shared" si="118"/>
        <v>8</v>
      </c>
      <c r="O881" s="3">
        <f t="shared" si="119"/>
        <v>3</v>
      </c>
    </row>
    <row r="882" spans="1:15" x14ac:dyDescent="0.2">
      <c r="A882" s="2">
        <v>44994</v>
      </c>
      <c r="B882" s="3">
        <v>27257</v>
      </c>
      <c r="C882" s="3">
        <v>27465</v>
      </c>
      <c r="D882" s="3">
        <v>27465</v>
      </c>
      <c r="E882" s="3">
        <v>26875</v>
      </c>
      <c r="F882" s="3">
        <v>1090</v>
      </c>
      <c r="G882" s="7">
        <f t="shared" si="125"/>
        <v>0</v>
      </c>
      <c r="H882" s="5">
        <f t="shared" si="120"/>
        <v>-6.7414911449602795E-3</v>
      </c>
      <c r="I882" s="4">
        <f t="shared" si="121"/>
        <v>1.0114012504597279E-2</v>
      </c>
      <c r="J882" s="4">
        <f t="shared" si="122"/>
        <v>-7.2766963798435514E-4</v>
      </c>
      <c r="K882" s="4">
        <f t="shared" si="123"/>
        <v>-1.1585141596175064E-2</v>
      </c>
      <c r="L882" s="4">
        <f t="shared" si="124"/>
        <v>4.45</v>
      </c>
      <c r="M882" s="3">
        <f t="shared" si="117"/>
        <v>3</v>
      </c>
      <c r="N882" s="3">
        <f t="shared" si="118"/>
        <v>9</v>
      </c>
      <c r="O882" s="3">
        <f t="shared" si="119"/>
        <v>4</v>
      </c>
    </row>
    <row r="883" spans="1:15" x14ac:dyDescent="0.2">
      <c r="A883" s="2">
        <v>44995</v>
      </c>
      <c r="B883" s="3">
        <v>26786</v>
      </c>
      <c r="C883" s="3">
        <v>26705</v>
      </c>
      <c r="D883" s="3">
        <v>26840</v>
      </c>
      <c r="E883" s="3">
        <v>26420</v>
      </c>
      <c r="F883" s="3">
        <v>2920</v>
      </c>
      <c r="G883" s="7">
        <f t="shared" si="125"/>
        <v>0</v>
      </c>
      <c r="H883" s="5">
        <f t="shared" si="120"/>
        <v>-1.727996477968962E-2</v>
      </c>
      <c r="I883" s="4">
        <f t="shared" si="121"/>
        <v>-2.7671582013471693E-2</v>
      </c>
      <c r="J883" s="4">
        <f t="shared" si="122"/>
        <v>-2.2756235208447113E-2</v>
      </c>
      <c r="K883" s="4">
        <f t="shared" si="123"/>
        <v>-1.6930232558139535E-2</v>
      </c>
      <c r="L883" s="4">
        <f t="shared" si="124"/>
        <v>1.6788990825688073</v>
      </c>
      <c r="M883" s="3">
        <f t="shared" si="117"/>
        <v>3</v>
      </c>
      <c r="N883" s="3">
        <f t="shared" si="118"/>
        <v>10</v>
      </c>
      <c r="O883" s="3">
        <f t="shared" si="119"/>
        <v>5</v>
      </c>
    </row>
    <row r="884" spans="1:15" x14ac:dyDescent="0.2">
      <c r="A884" s="2">
        <v>44998</v>
      </c>
      <c r="B884" s="3">
        <v>25744</v>
      </c>
      <c r="C884" s="3">
        <v>26810</v>
      </c>
      <c r="D884" s="3">
        <v>26920</v>
      </c>
      <c r="E884" s="3">
        <v>25515</v>
      </c>
      <c r="F884" s="3">
        <v>14760</v>
      </c>
      <c r="G884" s="7">
        <f t="shared" si="125"/>
        <v>0</v>
      </c>
      <c r="H884" s="5">
        <f t="shared" si="120"/>
        <v>-3.8900918390203841E-2</v>
      </c>
      <c r="I884" s="4">
        <f t="shared" si="121"/>
        <v>3.9318479685452159E-3</v>
      </c>
      <c r="J884" s="4">
        <f t="shared" si="122"/>
        <v>2.9806259314456036E-3</v>
      </c>
      <c r="K884" s="4">
        <f t="shared" si="123"/>
        <v>-3.4254352763058292E-2</v>
      </c>
      <c r="L884" s="4">
        <f t="shared" si="124"/>
        <v>4.0547945205479454</v>
      </c>
      <c r="M884" s="3">
        <f t="shared" si="117"/>
        <v>3</v>
      </c>
      <c r="N884" s="3">
        <f t="shared" si="118"/>
        <v>13</v>
      </c>
      <c r="O884" s="3">
        <f t="shared" si="119"/>
        <v>1</v>
      </c>
    </row>
    <row r="885" spans="1:15" x14ac:dyDescent="0.2">
      <c r="A885" s="2">
        <v>44999</v>
      </c>
      <c r="B885" s="3">
        <v>26325</v>
      </c>
      <c r="C885" s="3">
        <v>25685</v>
      </c>
      <c r="D885" s="3">
        <v>26370</v>
      </c>
      <c r="E885" s="3">
        <v>25585</v>
      </c>
      <c r="F885" s="3">
        <v>34470</v>
      </c>
      <c r="G885" s="7">
        <f t="shared" si="125"/>
        <v>1</v>
      </c>
      <c r="H885" s="5">
        <f t="shared" si="120"/>
        <v>2.2568365444375387E-2</v>
      </c>
      <c r="I885" s="4">
        <f t="shared" si="121"/>
        <v>-4.1961954494591572E-2</v>
      </c>
      <c r="J885" s="4">
        <f t="shared" si="122"/>
        <v>-2.0430906389301635E-2</v>
      </c>
      <c r="K885" s="4">
        <f t="shared" si="123"/>
        <v>2.7434842249657062E-3</v>
      </c>
      <c r="L885" s="4">
        <f t="shared" si="124"/>
        <v>1.3353658536585367</v>
      </c>
      <c r="M885" s="3">
        <f t="shared" si="117"/>
        <v>3</v>
      </c>
      <c r="N885" s="3">
        <f t="shared" si="118"/>
        <v>14</v>
      </c>
      <c r="O885" s="3">
        <f t="shared" si="119"/>
        <v>2</v>
      </c>
    </row>
    <row r="886" spans="1:15" x14ac:dyDescent="0.2">
      <c r="A886" s="2">
        <v>45000</v>
      </c>
      <c r="B886" s="3">
        <v>25066</v>
      </c>
      <c r="C886" s="3">
        <v>26310</v>
      </c>
      <c r="D886" s="3">
        <v>26375</v>
      </c>
      <c r="E886" s="3">
        <v>25010</v>
      </c>
      <c r="F886" s="3">
        <v>28800</v>
      </c>
      <c r="G886" s="7">
        <f t="shared" si="125"/>
        <v>0</v>
      </c>
      <c r="H886" s="5">
        <f t="shared" si="120"/>
        <v>-4.7825261158594493E-2</v>
      </c>
      <c r="I886" s="4">
        <f t="shared" si="121"/>
        <v>2.433326844461748E-2</v>
      </c>
      <c r="J886" s="4">
        <f t="shared" si="122"/>
        <v>1.8960940462646946E-4</v>
      </c>
      <c r="K886" s="4">
        <f t="shared" si="123"/>
        <v>-2.2474105921438343E-2</v>
      </c>
      <c r="L886" s="4">
        <f t="shared" si="124"/>
        <v>-0.16449086161879894</v>
      </c>
      <c r="M886" s="3">
        <f t="shared" si="117"/>
        <v>3</v>
      </c>
      <c r="N886" s="3">
        <f t="shared" si="118"/>
        <v>15</v>
      </c>
      <c r="O886" s="3">
        <f t="shared" si="119"/>
        <v>3</v>
      </c>
    </row>
    <row r="887" spans="1:15" x14ac:dyDescent="0.2">
      <c r="A887" s="2">
        <v>45001</v>
      </c>
      <c r="B887" s="3">
        <v>25429</v>
      </c>
      <c r="C887" s="3">
        <v>25495</v>
      </c>
      <c r="D887" s="3">
        <v>25715</v>
      </c>
      <c r="E887" s="3">
        <v>24755</v>
      </c>
      <c r="F887" s="3">
        <v>20870</v>
      </c>
      <c r="G887" s="7">
        <f t="shared" si="125"/>
        <v>1</v>
      </c>
      <c r="H887" s="5">
        <f t="shared" si="120"/>
        <v>1.4481768132131173E-2</v>
      </c>
      <c r="I887" s="4">
        <f t="shared" si="121"/>
        <v>-3.0976814899277842E-2</v>
      </c>
      <c r="J887" s="4">
        <f t="shared" si="122"/>
        <v>-2.5023696682464455E-2</v>
      </c>
      <c r="K887" s="4">
        <f t="shared" si="123"/>
        <v>-1.0195921631347461E-2</v>
      </c>
      <c r="L887" s="4">
        <f t="shared" si="124"/>
        <v>-0.27534722222222224</v>
      </c>
      <c r="M887" s="3">
        <f t="shared" si="117"/>
        <v>3</v>
      </c>
      <c r="N887" s="3">
        <f t="shared" si="118"/>
        <v>16</v>
      </c>
      <c r="O887" s="3">
        <f t="shared" si="119"/>
        <v>4</v>
      </c>
    </row>
    <row r="888" spans="1:15" x14ac:dyDescent="0.2">
      <c r="A888" s="2">
        <v>45002</v>
      </c>
      <c r="B888" s="3">
        <v>25028</v>
      </c>
      <c r="C888" s="3">
        <v>25655</v>
      </c>
      <c r="D888" s="3">
        <v>25895</v>
      </c>
      <c r="E888" s="3">
        <v>24850</v>
      </c>
      <c r="F888" s="3">
        <v>33190</v>
      </c>
      <c r="G888" s="7">
        <f t="shared" si="125"/>
        <v>0</v>
      </c>
      <c r="H888" s="5">
        <f t="shared" si="120"/>
        <v>-1.576939714499194E-2</v>
      </c>
      <c r="I888" s="4">
        <f t="shared" si="121"/>
        <v>6.2757403412433809E-3</v>
      </c>
      <c r="J888" s="4">
        <f t="shared" si="122"/>
        <v>6.9998055609566401E-3</v>
      </c>
      <c r="K888" s="4">
        <f t="shared" si="123"/>
        <v>3.8376085639264795E-3</v>
      </c>
      <c r="L888" s="4">
        <f t="shared" si="124"/>
        <v>0.59032103497843791</v>
      </c>
      <c r="M888" s="3">
        <f t="shared" si="117"/>
        <v>3</v>
      </c>
      <c r="N888" s="3">
        <f t="shared" si="118"/>
        <v>17</v>
      </c>
      <c r="O888" s="3">
        <f t="shared" si="119"/>
        <v>5</v>
      </c>
    </row>
    <row r="889" spans="1:15" x14ac:dyDescent="0.2">
      <c r="A889" s="2">
        <v>45005</v>
      </c>
      <c r="B889" s="3">
        <v>25470</v>
      </c>
      <c r="C889" s="3">
        <v>25560</v>
      </c>
      <c r="D889" s="3">
        <v>25560</v>
      </c>
      <c r="E889" s="3">
        <v>25480</v>
      </c>
      <c r="F889" s="3">
        <v>10</v>
      </c>
      <c r="G889" s="7">
        <f t="shared" si="125"/>
        <v>1</v>
      </c>
      <c r="H889" s="5">
        <f t="shared" si="120"/>
        <v>1.7660220552980662E-2</v>
      </c>
      <c r="I889" s="4">
        <f t="shared" si="121"/>
        <v>-3.7029818748781913E-3</v>
      </c>
      <c r="J889" s="4">
        <f t="shared" si="122"/>
        <v>-1.2936860397760186E-2</v>
      </c>
      <c r="K889" s="4">
        <f t="shared" si="123"/>
        <v>2.5352112676056339E-2</v>
      </c>
      <c r="L889" s="4">
        <f t="shared" si="124"/>
        <v>-0.99969870442904485</v>
      </c>
      <c r="M889" s="3">
        <f t="shared" si="117"/>
        <v>3</v>
      </c>
      <c r="N889" s="3">
        <f t="shared" si="118"/>
        <v>20</v>
      </c>
      <c r="O889" s="3">
        <f t="shared" si="119"/>
        <v>1</v>
      </c>
    </row>
    <row r="890" spans="1:15" x14ac:dyDescent="0.2">
      <c r="A890" s="2">
        <v>45006</v>
      </c>
      <c r="B890" s="3">
        <v>26165</v>
      </c>
      <c r="C890" s="3">
        <v>25700</v>
      </c>
      <c r="D890" s="3">
        <v>26285</v>
      </c>
      <c r="E890" s="3">
        <v>25690</v>
      </c>
      <c r="F890" s="3">
        <v>70</v>
      </c>
      <c r="G890" s="7">
        <f t="shared" si="125"/>
        <v>1</v>
      </c>
      <c r="H890" s="5">
        <f t="shared" si="120"/>
        <v>2.728700431880644E-2</v>
      </c>
      <c r="I890" s="4">
        <f t="shared" si="121"/>
        <v>5.4773082942097028E-3</v>
      </c>
      <c r="J890" s="4">
        <f t="shared" si="122"/>
        <v>2.8364632237871674E-2</v>
      </c>
      <c r="K890" s="4">
        <f t="shared" si="123"/>
        <v>8.241758241758242E-3</v>
      </c>
      <c r="L890" s="4">
        <f t="shared" si="124"/>
        <v>6</v>
      </c>
      <c r="M890" s="3">
        <f t="shared" si="117"/>
        <v>3</v>
      </c>
      <c r="N890" s="3">
        <f t="shared" si="118"/>
        <v>21</v>
      </c>
      <c r="O890" s="3">
        <f t="shared" si="119"/>
        <v>2</v>
      </c>
    </row>
    <row r="891" spans="1:15" x14ac:dyDescent="0.2">
      <c r="A891" s="2">
        <v>45007</v>
      </c>
      <c r="B891" s="3">
        <v>26140</v>
      </c>
      <c r="C891" s="3">
        <v>26190</v>
      </c>
      <c r="D891" s="3">
        <v>26235</v>
      </c>
      <c r="E891" s="3">
        <v>25860</v>
      </c>
      <c r="F891" s="3">
        <v>30</v>
      </c>
      <c r="G891" s="7">
        <f t="shared" si="125"/>
        <v>0</v>
      </c>
      <c r="H891" s="5">
        <f t="shared" si="120"/>
        <v>-9.5547487101089242E-4</v>
      </c>
      <c r="I891" s="4">
        <f t="shared" si="121"/>
        <v>1.9066147859922181E-2</v>
      </c>
      <c r="J891" s="4">
        <f t="shared" si="122"/>
        <v>-1.9022256039566293E-3</v>
      </c>
      <c r="K891" s="4">
        <f t="shared" si="123"/>
        <v>6.6173608407940829E-3</v>
      </c>
      <c r="L891" s="4">
        <f t="shared" si="124"/>
        <v>-0.5714285714285714</v>
      </c>
      <c r="M891" s="3">
        <f t="shared" si="117"/>
        <v>3</v>
      </c>
      <c r="N891" s="3">
        <f t="shared" si="118"/>
        <v>22</v>
      </c>
      <c r="O891" s="3">
        <f t="shared" si="119"/>
        <v>3</v>
      </c>
    </row>
    <row r="892" spans="1:15" x14ac:dyDescent="0.2">
      <c r="A892" s="2">
        <v>45008</v>
      </c>
      <c r="B892" s="3">
        <v>26102</v>
      </c>
      <c r="C892" s="3">
        <v>26100</v>
      </c>
      <c r="D892" s="3">
        <v>26195</v>
      </c>
      <c r="E892" s="3">
        <v>25745</v>
      </c>
      <c r="F892" s="3">
        <v>40</v>
      </c>
      <c r="G892" s="7">
        <f t="shared" si="125"/>
        <v>0</v>
      </c>
      <c r="H892" s="5">
        <f t="shared" si="120"/>
        <v>-1.4537107880642694E-3</v>
      </c>
      <c r="I892" s="4">
        <f t="shared" si="121"/>
        <v>-3.4364261168384879E-3</v>
      </c>
      <c r="J892" s="4">
        <f t="shared" si="122"/>
        <v>-1.5246807699637887E-3</v>
      </c>
      <c r="K892" s="4">
        <f t="shared" si="123"/>
        <v>-4.4470224284609439E-3</v>
      </c>
      <c r="L892" s="4">
        <f t="shared" si="124"/>
        <v>0.33333333333333331</v>
      </c>
      <c r="M892" s="3">
        <f t="shared" si="117"/>
        <v>3</v>
      </c>
      <c r="N892" s="3">
        <f t="shared" si="118"/>
        <v>23</v>
      </c>
      <c r="O892" s="3">
        <f t="shared" si="119"/>
        <v>4</v>
      </c>
    </row>
    <row r="893" spans="1:15" x14ac:dyDescent="0.2">
      <c r="A893" s="2">
        <v>45009</v>
      </c>
      <c r="B893" s="3">
        <v>25515</v>
      </c>
      <c r="C893" s="3">
        <v>25760</v>
      </c>
      <c r="D893" s="3">
        <v>25875</v>
      </c>
      <c r="E893" s="3">
        <v>25380</v>
      </c>
      <c r="F893" s="3">
        <v>90</v>
      </c>
      <c r="G893" s="7">
        <f t="shared" si="125"/>
        <v>0</v>
      </c>
      <c r="H893" s="5">
        <f t="shared" si="120"/>
        <v>-2.2488698184047199E-2</v>
      </c>
      <c r="I893" s="4">
        <f t="shared" si="121"/>
        <v>-1.3026819923371647E-2</v>
      </c>
      <c r="J893" s="4">
        <f t="shared" si="122"/>
        <v>-1.2216071769421645E-2</v>
      </c>
      <c r="K893" s="4">
        <f t="shared" si="123"/>
        <v>-1.4177510196154593E-2</v>
      </c>
      <c r="L893" s="4">
        <f t="shared" si="124"/>
        <v>1.25</v>
      </c>
      <c r="M893" s="3">
        <f t="shared" si="117"/>
        <v>3</v>
      </c>
      <c r="N893" s="3">
        <f t="shared" si="118"/>
        <v>24</v>
      </c>
      <c r="O893" s="3">
        <f t="shared" si="119"/>
        <v>5</v>
      </c>
    </row>
    <row r="894" spans="1:15" x14ac:dyDescent="0.2">
      <c r="A894" s="2">
        <v>45012</v>
      </c>
      <c r="B894" s="3">
        <v>25824</v>
      </c>
      <c r="C894" s="3">
        <v>25760</v>
      </c>
      <c r="D894" s="3">
        <v>25930</v>
      </c>
      <c r="E894" s="3">
        <v>25690</v>
      </c>
      <c r="F894" s="3">
        <v>30</v>
      </c>
      <c r="G894" s="7">
        <f t="shared" si="125"/>
        <v>1</v>
      </c>
      <c r="H894" s="5">
        <f t="shared" si="120"/>
        <v>1.2110523221634332E-2</v>
      </c>
      <c r="I894" s="4">
        <f t="shared" si="121"/>
        <v>0</v>
      </c>
      <c r="J894" s="4">
        <f t="shared" si="122"/>
        <v>2.1256038647342996E-3</v>
      </c>
      <c r="K894" s="4">
        <f t="shared" si="123"/>
        <v>1.2214342001576044E-2</v>
      </c>
      <c r="L894" s="4">
        <f t="shared" si="124"/>
        <v>-0.66666666666666663</v>
      </c>
      <c r="M894" s="3">
        <f t="shared" si="117"/>
        <v>3</v>
      </c>
      <c r="N894" s="3">
        <f t="shared" si="118"/>
        <v>27</v>
      </c>
      <c r="O894" s="3">
        <f t="shared" si="119"/>
        <v>1</v>
      </c>
    </row>
    <row r="895" spans="1:15" x14ac:dyDescent="0.2">
      <c r="A895" s="2">
        <v>45013</v>
      </c>
      <c r="B895" s="3">
        <v>25948</v>
      </c>
      <c r="C895" s="3">
        <v>25985</v>
      </c>
      <c r="D895" s="3">
        <v>26065</v>
      </c>
      <c r="E895" s="3">
        <v>25850</v>
      </c>
      <c r="F895" s="3">
        <v>40</v>
      </c>
      <c r="G895" s="7">
        <f t="shared" si="125"/>
        <v>1</v>
      </c>
      <c r="H895" s="5">
        <f t="shared" si="120"/>
        <v>4.8017348203221811E-3</v>
      </c>
      <c r="I895" s="4">
        <f t="shared" si="121"/>
        <v>8.7344720496894401E-3</v>
      </c>
      <c r="J895" s="4">
        <f t="shared" si="122"/>
        <v>5.20632472040108E-3</v>
      </c>
      <c r="K895" s="4">
        <f t="shared" si="123"/>
        <v>6.2281043207473722E-3</v>
      </c>
      <c r="L895" s="4">
        <f t="shared" si="124"/>
        <v>0.33333333333333331</v>
      </c>
      <c r="M895" s="3">
        <f t="shared" si="117"/>
        <v>3</v>
      </c>
      <c r="N895" s="3">
        <f t="shared" si="118"/>
        <v>28</v>
      </c>
      <c r="O895" s="3">
        <f t="shared" si="119"/>
        <v>2</v>
      </c>
    </row>
    <row r="896" spans="1:15" x14ac:dyDescent="0.2">
      <c r="A896" s="2">
        <v>45014</v>
      </c>
      <c r="B896" s="3">
        <v>26328</v>
      </c>
      <c r="C896" s="3">
        <v>26000</v>
      </c>
      <c r="D896" s="3">
        <v>26420</v>
      </c>
      <c r="E896" s="3">
        <v>26000</v>
      </c>
      <c r="F896" s="3">
        <v>40</v>
      </c>
      <c r="G896" s="7">
        <f t="shared" si="125"/>
        <v>1</v>
      </c>
      <c r="H896" s="5">
        <f t="shared" si="120"/>
        <v>1.4644673963311238E-2</v>
      </c>
      <c r="I896" s="4">
        <f t="shared" si="121"/>
        <v>5.772561092938234E-4</v>
      </c>
      <c r="J896" s="4">
        <f t="shared" si="122"/>
        <v>1.3619796662190677E-2</v>
      </c>
      <c r="K896" s="4">
        <f t="shared" si="123"/>
        <v>5.8027079303675051E-3</v>
      </c>
      <c r="L896" s="4">
        <f t="shared" si="124"/>
        <v>0</v>
      </c>
      <c r="M896" s="3">
        <f t="shared" si="117"/>
        <v>3</v>
      </c>
      <c r="N896" s="3">
        <f t="shared" si="118"/>
        <v>29</v>
      </c>
      <c r="O896" s="3">
        <f t="shared" si="119"/>
        <v>3</v>
      </c>
    </row>
    <row r="897" spans="1:15" x14ac:dyDescent="0.2">
      <c r="A897" s="2">
        <v>45015</v>
      </c>
      <c r="B897" s="3">
        <v>26595</v>
      </c>
      <c r="C897" s="3">
        <v>26520</v>
      </c>
      <c r="D897" s="3">
        <v>26620</v>
      </c>
      <c r="E897" s="3">
        <v>26450</v>
      </c>
      <c r="F897" s="3">
        <v>10</v>
      </c>
      <c r="G897" s="7">
        <f t="shared" si="125"/>
        <v>1</v>
      </c>
      <c r="H897" s="5">
        <f t="shared" si="120"/>
        <v>1.0141294439380128E-2</v>
      </c>
      <c r="I897" s="4">
        <f t="shared" si="121"/>
        <v>0.02</v>
      </c>
      <c r="J897" s="4">
        <f t="shared" si="122"/>
        <v>7.5700227100681302E-3</v>
      </c>
      <c r="K897" s="4">
        <f t="shared" si="123"/>
        <v>1.7307692307692309E-2</v>
      </c>
      <c r="L897" s="4">
        <f t="shared" si="124"/>
        <v>-0.75</v>
      </c>
      <c r="M897" s="3">
        <f t="shared" si="117"/>
        <v>3</v>
      </c>
      <c r="N897" s="3">
        <f t="shared" si="118"/>
        <v>30</v>
      </c>
      <c r="O897" s="3">
        <f t="shared" si="119"/>
        <v>4</v>
      </c>
    </row>
    <row r="898" spans="1:15" x14ac:dyDescent="0.2">
      <c r="A898" s="2">
        <v>45016</v>
      </c>
      <c r="B898" s="3">
        <v>26713</v>
      </c>
      <c r="C898" s="3">
        <v>26655</v>
      </c>
      <c r="D898" s="3">
        <v>26750</v>
      </c>
      <c r="E898" s="3">
        <v>26545</v>
      </c>
      <c r="F898" s="3">
        <v>10</v>
      </c>
      <c r="G898" s="7">
        <f t="shared" si="125"/>
        <v>1</v>
      </c>
      <c r="H898" s="5">
        <f t="shared" si="120"/>
        <v>4.4369242338785485E-3</v>
      </c>
      <c r="I898" s="4">
        <f t="shared" si="121"/>
        <v>5.0904977375565612E-3</v>
      </c>
      <c r="J898" s="4">
        <f t="shared" si="122"/>
        <v>4.8835462058602558E-3</v>
      </c>
      <c r="K898" s="4">
        <f t="shared" si="123"/>
        <v>3.5916824196597355E-3</v>
      </c>
      <c r="L898" s="4">
        <f t="shared" si="124"/>
        <v>0</v>
      </c>
      <c r="M898" s="3">
        <f t="shared" ref="M898:M961" si="126">MONTH(A898)</f>
        <v>3</v>
      </c>
      <c r="N898" s="3">
        <f t="shared" ref="N898:N961" si="127">DAY(A898)</f>
        <v>31</v>
      </c>
      <c r="O898" s="3">
        <f t="shared" ref="O898:O961" si="128">WEEKDAY(A898,2)</f>
        <v>5</v>
      </c>
    </row>
    <row r="899" spans="1:15" x14ac:dyDescent="0.2">
      <c r="A899" s="2">
        <v>45019</v>
      </c>
      <c r="B899" s="3">
        <v>26773</v>
      </c>
      <c r="C899" s="3">
        <v>26750</v>
      </c>
      <c r="D899" s="3">
        <v>26880</v>
      </c>
      <c r="E899" s="3">
        <v>26750</v>
      </c>
      <c r="F899" s="3">
        <v>20</v>
      </c>
      <c r="G899" s="7">
        <f t="shared" si="125"/>
        <v>1</v>
      </c>
      <c r="H899" s="5">
        <f t="shared" ref="H899:H962" si="129">(B899-B898)/B898</f>
        <v>2.2460974057574965E-3</v>
      </c>
      <c r="I899" s="4">
        <f t="shared" ref="I899:I962" si="130">(C899-C898)/C898</f>
        <v>3.5640592759332208E-3</v>
      </c>
      <c r="J899" s="4">
        <f t="shared" ref="J899:J962" si="131">(D899-D898)/D898</f>
        <v>4.8598130841121497E-3</v>
      </c>
      <c r="K899" s="4">
        <f t="shared" ref="K899:K962" si="132">(E899-E898)/E898</f>
        <v>7.7227349783386698E-3</v>
      </c>
      <c r="L899" s="4">
        <f t="shared" ref="L899:L962" si="133">(F899-F898)/F898</f>
        <v>1</v>
      </c>
      <c r="M899" s="3">
        <f t="shared" si="126"/>
        <v>4</v>
      </c>
      <c r="N899" s="3">
        <f t="shared" si="127"/>
        <v>3</v>
      </c>
      <c r="O899" s="3">
        <f t="shared" si="128"/>
        <v>1</v>
      </c>
    </row>
    <row r="900" spans="1:15" x14ac:dyDescent="0.2">
      <c r="A900" s="2">
        <v>45020</v>
      </c>
      <c r="B900" s="3">
        <v>26628</v>
      </c>
      <c r="C900" s="3">
        <v>26820</v>
      </c>
      <c r="D900" s="3">
        <v>26820</v>
      </c>
      <c r="E900" s="3">
        <v>26580</v>
      </c>
      <c r="F900" s="3">
        <v>30</v>
      </c>
      <c r="G900" s="7">
        <f t="shared" ref="G900:G963" si="134">IF(H900&lt;0, 0, 1)</f>
        <v>0</v>
      </c>
      <c r="H900" s="5">
        <f t="shared" si="129"/>
        <v>-5.4159040824711463E-3</v>
      </c>
      <c r="I900" s="4">
        <f t="shared" si="130"/>
        <v>2.6168224299065422E-3</v>
      </c>
      <c r="J900" s="4">
        <f t="shared" si="131"/>
        <v>-2.232142857142857E-3</v>
      </c>
      <c r="K900" s="4">
        <f t="shared" si="132"/>
        <v>-6.3551401869158877E-3</v>
      </c>
      <c r="L900" s="4">
        <f t="shared" si="133"/>
        <v>0.5</v>
      </c>
      <c r="M900" s="3">
        <f t="shared" si="126"/>
        <v>4</v>
      </c>
      <c r="N900" s="3">
        <f t="shared" si="127"/>
        <v>4</v>
      </c>
      <c r="O900" s="3">
        <f t="shared" si="128"/>
        <v>2</v>
      </c>
    </row>
    <row r="901" spans="1:15" x14ac:dyDescent="0.2">
      <c r="A901" s="2">
        <v>45021</v>
      </c>
      <c r="B901" s="3">
        <v>26444</v>
      </c>
      <c r="C901" s="3">
        <v>26510</v>
      </c>
      <c r="D901" s="3">
        <v>26530</v>
      </c>
      <c r="E901" s="3">
        <v>26480</v>
      </c>
      <c r="F901" s="3">
        <v>10</v>
      </c>
      <c r="G901" s="7">
        <f t="shared" si="134"/>
        <v>0</v>
      </c>
      <c r="H901" s="5">
        <f t="shared" si="129"/>
        <v>-6.9100195283160583E-3</v>
      </c>
      <c r="I901" s="4">
        <f t="shared" si="130"/>
        <v>-1.1558538404175988E-2</v>
      </c>
      <c r="J901" s="4">
        <f t="shared" si="131"/>
        <v>-1.0812826249067859E-2</v>
      </c>
      <c r="K901" s="4">
        <f t="shared" si="132"/>
        <v>-3.7622272385252069E-3</v>
      </c>
      <c r="L901" s="4">
        <f t="shared" si="133"/>
        <v>-0.66666666666666663</v>
      </c>
      <c r="M901" s="3">
        <f t="shared" si="126"/>
        <v>4</v>
      </c>
      <c r="N901" s="3">
        <f t="shared" si="127"/>
        <v>5</v>
      </c>
      <c r="O901" s="3">
        <f t="shared" si="128"/>
        <v>3</v>
      </c>
    </row>
    <row r="902" spans="1:15" x14ac:dyDescent="0.2">
      <c r="A902" s="2">
        <v>45022</v>
      </c>
      <c r="B902" s="3">
        <v>26790</v>
      </c>
      <c r="C902" s="3">
        <v>26575</v>
      </c>
      <c r="D902" s="3">
        <v>26865</v>
      </c>
      <c r="E902" s="3">
        <v>26575</v>
      </c>
      <c r="F902" s="3">
        <v>10</v>
      </c>
      <c r="G902" s="7">
        <f t="shared" si="134"/>
        <v>1</v>
      </c>
      <c r="H902" s="5">
        <f t="shared" si="129"/>
        <v>1.308425351686583E-2</v>
      </c>
      <c r="I902" s="4">
        <f t="shared" si="130"/>
        <v>2.4519049415314977E-3</v>
      </c>
      <c r="J902" s="4">
        <f t="shared" si="131"/>
        <v>1.2627214474180174E-2</v>
      </c>
      <c r="K902" s="4">
        <f t="shared" si="132"/>
        <v>3.5876132930513596E-3</v>
      </c>
      <c r="L902" s="4">
        <f t="shared" si="133"/>
        <v>0</v>
      </c>
      <c r="M902" s="3">
        <f t="shared" si="126"/>
        <v>4</v>
      </c>
      <c r="N902" s="3">
        <f t="shared" si="127"/>
        <v>6</v>
      </c>
      <c r="O902" s="3">
        <f t="shared" si="128"/>
        <v>4</v>
      </c>
    </row>
    <row r="903" spans="1:15" x14ac:dyDescent="0.2">
      <c r="A903" s="2">
        <v>45027</v>
      </c>
      <c r="B903" s="3">
        <v>27074</v>
      </c>
      <c r="C903" s="3">
        <v>27020</v>
      </c>
      <c r="D903" s="3">
        <v>27160</v>
      </c>
      <c r="E903" s="3">
        <v>26970</v>
      </c>
      <c r="F903" s="3">
        <v>10</v>
      </c>
      <c r="G903" s="7">
        <f t="shared" si="134"/>
        <v>1</v>
      </c>
      <c r="H903" s="5">
        <f t="shared" si="129"/>
        <v>1.0600970511384845E-2</v>
      </c>
      <c r="I903" s="4">
        <f t="shared" si="130"/>
        <v>1.6745061147695202E-2</v>
      </c>
      <c r="J903" s="4">
        <f t="shared" si="131"/>
        <v>1.0980830076307463E-2</v>
      </c>
      <c r="K903" s="4">
        <f t="shared" si="132"/>
        <v>1.4863593603010348E-2</v>
      </c>
      <c r="L903" s="4">
        <f t="shared" si="133"/>
        <v>0</v>
      </c>
      <c r="M903" s="3">
        <f t="shared" si="126"/>
        <v>4</v>
      </c>
      <c r="N903" s="3">
        <f t="shared" si="127"/>
        <v>11</v>
      </c>
      <c r="O903" s="3">
        <f t="shared" si="128"/>
        <v>2</v>
      </c>
    </row>
    <row r="904" spans="1:15" x14ac:dyDescent="0.2">
      <c r="A904" s="2">
        <v>45028</v>
      </c>
      <c r="B904" s="3">
        <v>27207</v>
      </c>
      <c r="C904" s="3">
        <v>27130</v>
      </c>
      <c r="D904" s="3">
        <v>27500</v>
      </c>
      <c r="E904" s="3">
        <v>27130</v>
      </c>
      <c r="F904" s="3">
        <v>10</v>
      </c>
      <c r="G904" s="7">
        <f t="shared" si="134"/>
        <v>1</v>
      </c>
      <c r="H904" s="5">
        <f t="shared" si="129"/>
        <v>4.9124621407992909E-3</v>
      </c>
      <c r="I904" s="4">
        <f t="shared" si="130"/>
        <v>4.0710584752035525E-3</v>
      </c>
      <c r="J904" s="4">
        <f t="shared" si="131"/>
        <v>1.2518409425625921E-2</v>
      </c>
      <c r="K904" s="4">
        <f t="shared" si="132"/>
        <v>5.9325176121616608E-3</v>
      </c>
      <c r="L904" s="4">
        <f t="shared" si="133"/>
        <v>0</v>
      </c>
      <c r="M904" s="3">
        <f t="shared" si="126"/>
        <v>4</v>
      </c>
      <c r="N904" s="3">
        <f t="shared" si="127"/>
        <v>12</v>
      </c>
      <c r="O904" s="3">
        <f t="shared" si="128"/>
        <v>3</v>
      </c>
    </row>
    <row r="905" spans="1:15" x14ac:dyDescent="0.2">
      <c r="A905" s="2">
        <v>45029</v>
      </c>
      <c r="B905" s="3">
        <v>27201</v>
      </c>
      <c r="C905" s="3">
        <v>27200</v>
      </c>
      <c r="D905" s="3">
        <v>27315</v>
      </c>
      <c r="E905" s="3">
        <v>27105</v>
      </c>
      <c r="F905" s="3">
        <v>20</v>
      </c>
      <c r="G905" s="7">
        <f t="shared" si="134"/>
        <v>0</v>
      </c>
      <c r="H905" s="5">
        <f t="shared" si="129"/>
        <v>-2.2053148086889404E-4</v>
      </c>
      <c r="I905" s="4">
        <f t="shared" si="130"/>
        <v>2.5801695539992629E-3</v>
      </c>
      <c r="J905" s="4">
        <f t="shared" si="131"/>
        <v>-6.7272727272727276E-3</v>
      </c>
      <c r="K905" s="4">
        <f t="shared" si="132"/>
        <v>-9.214891264283082E-4</v>
      </c>
      <c r="L905" s="4">
        <f t="shared" si="133"/>
        <v>1</v>
      </c>
      <c r="M905" s="3">
        <f t="shared" si="126"/>
        <v>4</v>
      </c>
      <c r="N905" s="3">
        <f t="shared" si="127"/>
        <v>13</v>
      </c>
      <c r="O905" s="3">
        <f t="shared" si="128"/>
        <v>4</v>
      </c>
    </row>
    <row r="906" spans="1:15" x14ac:dyDescent="0.2">
      <c r="A906" s="2">
        <v>45030</v>
      </c>
      <c r="B906" s="3">
        <v>27448</v>
      </c>
      <c r="C906" s="3">
        <v>27285</v>
      </c>
      <c r="D906" s="3">
        <v>27340</v>
      </c>
      <c r="E906" s="3">
        <v>27285</v>
      </c>
      <c r="F906" s="3">
        <v>10</v>
      </c>
      <c r="G906" s="7">
        <f t="shared" si="134"/>
        <v>1</v>
      </c>
      <c r="H906" s="5">
        <f t="shared" si="129"/>
        <v>9.080548509245983E-3</v>
      </c>
      <c r="I906" s="4">
        <f t="shared" si="130"/>
        <v>3.1250000000000002E-3</v>
      </c>
      <c r="J906" s="4">
        <f t="shared" si="131"/>
        <v>9.1524803221673071E-4</v>
      </c>
      <c r="K906" s="4">
        <f t="shared" si="132"/>
        <v>6.6408411732152743E-3</v>
      </c>
      <c r="L906" s="4">
        <f t="shared" si="133"/>
        <v>-0.5</v>
      </c>
      <c r="M906" s="3">
        <f t="shared" si="126"/>
        <v>4</v>
      </c>
      <c r="N906" s="3">
        <f t="shared" si="127"/>
        <v>14</v>
      </c>
      <c r="O906" s="3">
        <f t="shared" si="128"/>
        <v>5</v>
      </c>
    </row>
    <row r="907" spans="1:15" x14ac:dyDescent="0.2">
      <c r="A907" s="2">
        <v>45033</v>
      </c>
      <c r="B907" s="3">
        <v>27301</v>
      </c>
      <c r="C907" s="3">
        <v>27540</v>
      </c>
      <c r="D907" s="3">
        <v>27640</v>
      </c>
      <c r="E907" s="3">
        <v>27300</v>
      </c>
      <c r="F907" s="3">
        <v>30</v>
      </c>
      <c r="G907" s="7">
        <f t="shared" si="134"/>
        <v>0</v>
      </c>
      <c r="H907" s="5">
        <f t="shared" si="129"/>
        <v>-5.3555814631302831E-3</v>
      </c>
      <c r="I907" s="4">
        <f t="shared" si="130"/>
        <v>9.3457943925233638E-3</v>
      </c>
      <c r="J907" s="4">
        <f t="shared" si="131"/>
        <v>1.0972933430870519E-2</v>
      </c>
      <c r="K907" s="4">
        <f t="shared" si="132"/>
        <v>5.4975261132490382E-4</v>
      </c>
      <c r="L907" s="4">
        <f t="shared" si="133"/>
        <v>2</v>
      </c>
      <c r="M907" s="3">
        <f t="shared" si="126"/>
        <v>4</v>
      </c>
      <c r="N907" s="3">
        <f t="shared" si="127"/>
        <v>17</v>
      </c>
      <c r="O907" s="3">
        <f t="shared" si="128"/>
        <v>1</v>
      </c>
    </row>
    <row r="908" spans="1:15" x14ac:dyDescent="0.2">
      <c r="A908" s="2">
        <v>45034</v>
      </c>
      <c r="B908" s="3">
        <v>27465</v>
      </c>
      <c r="C908" s="3">
        <v>27430</v>
      </c>
      <c r="D908" s="3">
        <v>27580</v>
      </c>
      <c r="E908" s="3">
        <v>27430</v>
      </c>
      <c r="F908" s="3">
        <v>10</v>
      </c>
      <c r="G908" s="7">
        <f t="shared" si="134"/>
        <v>1</v>
      </c>
      <c r="H908" s="5">
        <f t="shared" si="129"/>
        <v>6.0071059668144024E-3</v>
      </c>
      <c r="I908" s="4">
        <f t="shared" si="130"/>
        <v>-3.9941902687000725E-3</v>
      </c>
      <c r="J908" s="4">
        <f t="shared" si="131"/>
        <v>-2.1707670043415342E-3</v>
      </c>
      <c r="K908" s="4">
        <f t="shared" si="132"/>
        <v>4.7619047619047623E-3</v>
      </c>
      <c r="L908" s="4">
        <f t="shared" si="133"/>
        <v>-0.66666666666666663</v>
      </c>
      <c r="M908" s="3">
        <f t="shared" si="126"/>
        <v>4</v>
      </c>
      <c r="N908" s="3">
        <f t="shared" si="127"/>
        <v>18</v>
      </c>
      <c r="O908" s="3">
        <f t="shared" si="128"/>
        <v>2</v>
      </c>
    </row>
    <row r="909" spans="1:15" x14ac:dyDescent="0.2">
      <c r="A909" s="2">
        <v>45035</v>
      </c>
      <c r="B909" s="3">
        <v>27514</v>
      </c>
      <c r="C909" s="3">
        <v>27440</v>
      </c>
      <c r="D909" s="3">
        <v>27565</v>
      </c>
      <c r="E909" s="3">
        <v>27405</v>
      </c>
      <c r="F909" s="3">
        <v>20</v>
      </c>
      <c r="G909" s="7">
        <f t="shared" si="134"/>
        <v>1</v>
      </c>
      <c r="H909" s="5">
        <f t="shared" si="129"/>
        <v>1.7840888403422538E-3</v>
      </c>
      <c r="I909" s="4">
        <f t="shared" si="130"/>
        <v>3.6456434560699962E-4</v>
      </c>
      <c r="J909" s="4">
        <f t="shared" si="131"/>
        <v>-5.4387237128353878E-4</v>
      </c>
      <c r="K909" s="4">
        <f t="shared" si="132"/>
        <v>-9.1141086401749912E-4</v>
      </c>
      <c r="L909" s="4">
        <f t="shared" si="133"/>
        <v>1</v>
      </c>
      <c r="M909" s="3">
        <f t="shared" si="126"/>
        <v>4</v>
      </c>
      <c r="N909" s="3">
        <f t="shared" si="127"/>
        <v>19</v>
      </c>
      <c r="O909" s="3">
        <f t="shared" si="128"/>
        <v>3</v>
      </c>
    </row>
    <row r="910" spans="1:15" x14ac:dyDescent="0.2">
      <c r="A910" s="2">
        <v>45036</v>
      </c>
      <c r="B910" s="3">
        <v>27208</v>
      </c>
      <c r="C910" s="3">
        <v>27425</v>
      </c>
      <c r="D910" s="3">
        <v>27425</v>
      </c>
      <c r="E910" s="3">
        <v>27135</v>
      </c>
      <c r="F910" s="3">
        <v>40</v>
      </c>
      <c r="G910" s="7">
        <f t="shared" si="134"/>
        <v>0</v>
      </c>
      <c r="H910" s="5">
        <f t="shared" si="129"/>
        <v>-1.1121610816311696E-2</v>
      </c>
      <c r="I910" s="4">
        <f t="shared" si="130"/>
        <v>-5.4664723032069973E-4</v>
      </c>
      <c r="J910" s="4">
        <f t="shared" si="131"/>
        <v>-5.0789044077634684E-3</v>
      </c>
      <c r="K910" s="4">
        <f t="shared" si="132"/>
        <v>-9.852216748768473E-3</v>
      </c>
      <c r="L910" s="4">
        <f t="shared" si="133"/>
        <v>1</v>
      </c>
      <c r="M910" s="3">
        <f t="shared" si="126"/>
        <v>4</v>
      </c>
      <c r="N910" s="3">
        <f t="shared" si="127"/>
        <v>20</v>
      </c>
      <c r="O910" s="3">
        <f t="shared" si="128"/>
        <v>4</v>
      </c>
    </row>
    <row r="911" spans="1:15" x14ac:dyDescent="0.2">
      <c r="A911" s="2">
        <v>45037</v>
      </c>
      <c r="B911" s="3">
        <v>27301</v>
      </c>
      <c r="C911" s="3">
        <v>27145</v>
      </c>
      <c r="D911" s="3">
        <v>27355</v>
      </c>
      <c r="E911" s="3">
        <v>27145</v>
      </c>
      <c r="F911" s="3">
        <v>20</v>
      </c>
      <c r="G911" s="7">
        <f t="shared" si="134"/>
        <v>1</v>
      </c>
      <c r="H911" s="5">
        <f t="shared" si="129"/>
        <v>3.41811231990591E-3</v>
      </c>
      <c r="I911" s="4">
        <f t="shared" si="130"/>
        <v>-1.0209662716499545E-2</v>
      </c>
      <c r="J911" s="4">
        <f t="shared" si="131"/>
        <v>-2.5524156791248863E-3</v>
      </c>
      <c r="K911" s="4">
        <f t="shared" si="132"/>
        <v>3.6852773171181132E-4</v>
      </c>
      <c r="L911" s="4">
        <f t="shared" si="133"/>
        <v>-0.5</v>
      </c>
      <c r="M911" s="3">
        <f t="shared" si="126"/>
        <v>4</v>
      </c>
      <c r="N911" s="3">
        <f t="shared" si="127"/>
        <v>21</v>
      </c>
      <c r="O911" s="3">
        <f t="shared" si="128"/>
        <v>5</v>
      </c>
    </row>
    <row r="912" spans="1:15" x14ac:dyDescent="0.2">
      <c r="A912" s="2">
        <v>45040</v>
      </c>
      <c r="B912" s="3">
        <v>27444</v>
      </c>
      <c r="C912" s="3">
        <v>27395</v>
      </c>
      <c r="D912" s="3">
        <v>27480</v>
      </c>
      <c r="E912" s="3">
        <v>27360</v>
      </c>
      <c r="F912" s="3">
        <v>40</v>
      </c>
      <c r="G912" s="7">
        <f t="shared" si="134"/>
        <v>1</v>
      </c>
      <c r="H912" s="5">
        <f t="shared" si="129"/>
        <v>5.237903373502802E-3</v>
      </c>
      <c r="I912" s="4">
        <f t="shared" si="130"/>
        <v>9.2097992263768646E-3</v>
      </c>
      <c r="J912" s="4">
        <f t="shared" si="131"/>
        <v>4.5695485286053735E-3</v>
      </c>
      <c r="K912" s="4">
        <f t="shared" si="132"/>
        <v>7.9204273346841041E-3</v>
      </c>
      <c r="L912" s="4">
        <f t="shared" si="133"/>
        <v>1</v>
      </c>
      <c r="M912" s="3">
        <f t="shared" si="126"/>
        <v>4</v>
      </c>
      <c r="N912" s="3">
        <f t="shared" si="127"/>
        <v>24</v>
      </c>
      <c r="O912" s="3">
        <f t="shared" si="128"/>
        <v>1</v>
      </c>
    </row>
    <row r="913" spans="1:15" x14ac:dyDescent="0.2">
      <c r="A913" s="2">
        <v>45041</v>
      </c>
      <c r="B913" s="3">
        <v>27163</v>
      </c>
      <c r="C913" s="3">
        <v>27325</v>
      </c>
      <c r="D913" s="3">
        <v>27340</v>
      </c>
      <c r="E913" s="3">
        <v>27070</v>
      </c>
      <c r="F913" s="3">
        <v>30</v>
      </c>
      <c r="G913" s="7">
        <f t="shared" si="134"/>
        <v>0</v>
      </c>
      <c r="H913" s="5">
        <f t="shared" si="129"/>
        <v>-1.0239032211047952E-2</v>
      </c>
      <c r="I913" s="4">
        <f t="shared" si="130"/>
        <v>-2.5552108048914036E-3</v>
      </c>
      <c r="J913" s="4">
        <f t="shared" si="131"/>
        <v>-5.0946142649199418E-3</v>
      </c>
      <c r="K913" s="4">
        <f t="shared" si="132"/>
        <v>-1.0599415204678362E-2</v>
      </c>
      <c r="L913" s="4">
        <f t="shared" si="133"/>
        <v>-0.25</v>
      </c>
      <c r="M913" s="3">
        <f t="shared" si="126"/>
        <v>4</v>
      </c>
      <c r="N913" s="3">
        <f t="shared" si="127"/>
        <v>25</v>
      </c>
      <c r="O913" s="3">
        <f t="shared" si="128"/>
        <v>2</v>
      </c>
    </row>
    <row r="914" spans="1:15" x14ac:dyDescent="0.2">
      <c r="A914" s="2">
        <v>45042</v>
      </c>
      <c r="B914" s="3">
        <v>26987</v>
      </c>
      <c r="C914" s="3">
        <v>26785</v>
      </c>
      <c r="D914" s="3">
        <v>27025</v>
      </c>
      <c r="E914" s="3">
        <v>26765</v>
      </c>
      <c r="F914" s="3">
        <v>20</v>
      </c>
      <c r="G914" s="7">
        <f t="shared" si="134"/>
        <v>0</v>
      </c>
      <c r="H914" s="5">
        <f t="shared" si="129"/>
        <v>-6.4794021278945626E-3</v>
      </c>
      <c r="I914" s="4">
        <f t="shared" si="130"/>
        <v>-1.9762122598353155E-2</v>
      </c>
      <c r="J914" s="4">
        <f t="shared" si="131"/>
        <v>-1.1521580102414046E-2</v>
      </c>
      <c r="K914" s="4">
        <f t="shared" si="132"/>
        <v>-1.1267085334318434E-2</v>
      </c>
      <c r="L914" s="4">
        <f t="shared" si="133"/>
        <v>-0.33333333333333331</v>
      </c>
      <c r="M914" s="3">
        <f t="shared" si="126"/>
        <v>4</v>
      </c>
      <c r="N914" s="3">
        <f t="shared" si="127"/>
        <v>26</v>
      </c>
      <c r="O914" s="3">
        <f t="shared" si="128"/>
        <v>3</v>
      </c>
    </row>
    <row r="915" spans="1:15" x14ac:dyDescent="0.2">
      <c r="A915" s="2">
        <v>45043</v>
      </c>
      <c r="B915" s="3">
        <v>27067</v>
      </c>
      <c r="C915" s="3">
        <v>26965</v>
      </c>
      <c r="D915" s="3">
        <v>27140</v>
      </c>
      <c r="E915" s="3">
        <v>26900</v>
      </c>
      <c r="F915" s="3">
        <v>20</v>
      </c>
      <c r="G915" s="7">
        <f t="shared" si="134"/>
        <v>1</v>
      </c>
      <c r="H915" s="5">
        <f t="shared" si="129"/>
        <v>2.9643902619779896E-3</v>
      </c>
      <c r="I915" s="4">
        <f t="shared" si="130"/>
        <v>6.7201792047787944E-3</v>
      </c>
      <c r="J915" s="4">
        <f t="shared" si="131"/>
        <v>4.2553191489361703E-3</v>
      </c>
      <c r="K915" s="4">
        <f t="shared" si="132"/>
        <v>5.0439006164767416E-3</v>
      </c>
      <c r="L915" s="4">
        <f t="shared" si="133"/>
        <v>0</v>
      </c>
      <c r="M915" s="3">
        <f t="shared" si="126"/>
        <v>4</v>
      </c>
      <c r="N915" s="3">
        <f t="shared" si="127"/>
        <v>27</v>
      </c>
      <c r="O915" s="3">
        <f t="shared" si="128"/>
        <v>4</v>
      </c>
    </row>
    <row r="916" spans="1:15" x14ac:dyDescent="0.2">
      <c r="A916" s="2">
        <v>45044</v>
      </c>
      <c r="B916" s="3">
        <v>26979</v>
      </c>
      <c r="C916" s="3">
        <v>27175</v>
      </c>
      <c r="D916" s="3">
        <v>27175</v>
      </c>
      <c r="E916" s="3">
        <v>26590</v>
      </c>
      <c r="F916" s="3">
        <v>20</v>
      </c>
      <c r="G916" s="7">
        <f t="shared" si="134"/>
        <v>0</v>
      </c>
      <c r="H916" s="5">
        <f t="shared" si="129"/>
        <v>-3.2511914877895592E-3</v>
      </c>
      <c r="I916" s="4">
        <f t="shared" si="130"/>
        <v>7.7878731689226778E-3</v>
      </c>
      <c r="J916" s="4">
        <f t="shared" si="131"/>
        <v>1.2896094325718496E-3</v>
      </c>
      <c r="K916" s="4">
        <f t="shared" si="132"/>
        <v>-1.1524163568773234E-2</v>
      </c>
      <c r="L916" s="4">
        <f t="shared" si="133"/>
        <v>0</v>
      </c>
      <c r="M916" s="3">
        <f t="shared" si="126"/>
        <v>4</v>
      </c>
      <c r="N916" s="3">
        <f t="shared" si="127"/>
        <v>28</v>
      </c>
      <c r="O916" s="3">
        <f t="shared" si="128"/>
        <v>5</v>
      </c>
    </row>
    <row r="917" spans="1:15" x14ac:dyDescent="0.2">
      <c r="A917" s="2">
        <v>45048</v>
      </c>
      <c r="B917" s="3">
        <v>26510</v>
      </c>
      <c r="C917" s="3">
        <v>27055</v>
      </c>
      <c r="D917" s="3">
        <v>27055</v>
      </c>
      <c r="E917" s="3">
        <v>26500</v>
      </c>
      <c r="F917" s="3">
        <v>50</v>
      </c>
      <c r="G917" s="7">
        <f t="shared" si="134"/>
        <v>0</v>
      </c>
      <c r="H917" s="5">
        <f t="shared" si="129"/>
        <v>-1.7383891174617295E-2</v>
      </c>
      <c r="I917" s="4">
        <f t="shared" si="130"/>
        <v>-4.4158233670653175E-3</v>
      </c>
      <c r="J917" s="4">
        <f t="shared" si="131"/>
        <v>-4.4158233670653175E-3</v>
      </c>
      <c r="K917" s="4">
        <f t="shared" si="132"/>
        <v>-3.3847311019180142E-3</v>
      </c>
      <c r="L917" s="4">
        <f t="shared" si="133"/>
        <v>1.5</v>
      </c>
      <c r="M917" s="3">
        <f t="shared" si="126"/>
        <v>5</v>
      </c>
      <c r="N917" s="3">
        <f t="shared" si="127"/>
        <v>2</v>
      </c>
      <c r="O917" s="3">
        <f t="shared" si="128"/>
        <v>2</v>
      </c>
    </row>
    <row r="918" spans="1:15" x14ac:dyDescent="0.2">
      <c r="A918" s="2">
        <v>45049</v>
      </c>
      <c r="B918" s="3">
        <v>26709</v>
      </c>
      <c r="C918" s="3">
        <v>26695</v>
      </c>
      <c r="D918" s="3">
        <v>26825</v>
      </c>
      <c r="E918" s="3">
        <v>26665</v>
      </c>
      <c r="F918" s="3">
        <v>30</v>
      </c>
      <c r="G918" s="7">
        <f t="shared" si="134"/>
        <v>1</v>
      </c>
      <c r="H918" s="5">
        <f t="shared" si="129"/>
        <v>7.5066012825348921E-3</v>
      </c>
      <c r="I918" s="4">
        <f t="shared" si="130"/>
        <v>-1.3306228053964147E-2</v>
      </c>
      <c r="J918" s="4">
        <f t="shared" si="131"/>
        <v>-8.5012012566993162E-3</v>
      </c>
      <c r="K918" s="4">
        <f t="shared" si="132"/>
        <v>6.2264150943396228E-3</v>
      </c>
      <c r="L918" s="4">
        <f t="shared" si="133"/>
        <v>-0.4</v>
      </c>
      <c r="M918" s="3">
        <f t="shared" si="126"/>
        <v>5</v>
      </c>
      <c r="N918" s="3">
        <f t="shared" si="127"/>
        <v>3</v>
      </c>
      <c r="O918" s="3">
        <f t="shared" si="128"/>
        <v>3</v>
      </c>
    </row>
    <row r="919" spans="1:15" x14ac:dyDescent="0.2">
      <c r="A919" s="2">
        <v>45050</v>
      </c>
      <c r="B919" s="3">
        <v>26540</v>
      </c>
      <c r="C919" s="3">
        <v>26520</v>
      </c>
      <c r="D919" s="3">
        <v>26630</v>
      </c>
      <c r="E919" s="3">
        <v>26395</v>
      </c>
      <c r="F919" s="3">
        <v>60</v>
      </c>
      <c r="G919" s="7">
        <f t="shared" si="134"/>
        <v>0</v>
      </c>
      <c r="H919" s="5">
        <f t="shared" si="129"/>
        <v>-6.3274551649256808E-3</v>
      </c>
      <c r="I919" s="4">
        <f t="shared" si="130"/>
        <v>-6.5555347443341447E-3</v>
      </c>
      <c r="J919" s="4">
        <f t="shared" si="131"/>
        <v>-7.2693383038210622E-3</v>
      </c>
      <c r="K919" s="4">
        <f t="shared" si="132"/>
        <v>-1.0125632852053253E-2</v>
      </c>
      <c r="L919" s="4">
        <f t="shared" si="133"/>
        <v>1</v>
      </c>
      <c r="M919" s="3">
        <f t="shared" si="126"/>
        <v>5</v>
      </c>
      <c r="N919" s="3">
        <f t="shared" si="127"/>
        <v>4</v>
      </c>
      <c r="O919" s="3">
        <f t="shared" si="128"/>
        <v>4</v>
      </c>
    </row>
    <row r="920" spans="1:15" x14ac:dyDescent="0.2">
      <c r="A920" s="2">
        <v>45051</v>
      </c>
      <c r="B920" s="3">
        <v>27201</v>
      </c>
      <c r="C920" s="3">
        <v>26695</v>
      </c>
      <c r="D920" s="3">
        <v>27205</v>
      </c>
      <c r="E920" s="3">
        <v>26695</v>
      </c>
      <c r="F920" s="3">
        <v>20</v>
      </c>
      <c r="G920" s="7">
        <f t="shared" si="134"/>
        <v>1</v>
      </c>
      <c r="H920" s="5">
        <f t="shared" si="129"/>
        <v>2.4905802562170308E-2</v>
      </c>
      <c r="I920" s="4">
        <f t="shared" si="130"/>
        <v>6.5987933634992458E-3</v>
      </c>
      <c r="J920" s="4">
        <f t="shared" si="131"/>
        <v>2.1592189260232819E-2</v>
      </c>
      <c r="K920" s="4">
        <f t="shared" si="132"/>
        <v>1.1365788975184693E-2</v>
      </c>
      <c r="L920" s="4">
        <f t="shared" si="133"/>
        <v>-0.66666666666666663</v>
      </c>
      <c r="M920" s="3">
        <f t="shared" si="126"/>
        <v>5</v>
      </c>
      <c r="N920" s="3">
        <f t="shared" si="127"/>
        <v>5</v>
      </c>
      <c r="O920" s="3">
        <f t="shared" si="128"/>
        <v>5</v>
      </c>
    </row>
    <row r="921" spans="1:15" x14ac:dyDescent="0.2">
      <c r="A921" s="2">
        <v>45054</v>
      </c>
      <c r="B921" s="3">
        <v>27294</v>
      </c>
      <c r="C921" s="3">
        <v>27265</v>
      </c>
      <c r="D921" s="3">
        <v>27305</v>
      </c>
      <c r="E921" s="3">
        <v>27230</v>
      </c>
      <c r="F921" s="3">
        <v>40</v>
      </c>
      <c r="G921" s="7">
        <f t="shared" si="134"/>
        <v>1</v>
      </c>
      <c r="H921" s="5">
        <f t="shared" si="129"/>
        <v>3.4189919488254107E-3</v>
      </c>
      <c r="I921" s="4">
        <f t="shared" si="130"/>
        <v>2.1352313167259787E-2</v>
      </c>
      <c r="J921" s="4">
        <f t="shared" si="131"/>
        <v>3.675794890645102E-3</v>
      </c>
      <c r="K921" s="4">
        <f t="shared" si="132"/>
        <v>2.0041206218392959E-2</v>
      </c>
      <c r="L921" s="4">
        <f t="shared" si="133"/>
        <v>1</v>
      </c>
      <c r="M921" s="3">
        <f t="shared" si="126"/>
        <v>5</v>
      </c>
      <c r="N921" s="3">
        <f t="shared" si="127"/>
        <v>8</v>
      </c>
      <c r="O921" s="3">
        <f t="shared" si="128"/>
        <v>1</v>
      </c>
    </row>
    <row r="922" spans="1:15" x14ac:dyDescent="0.2">
      <c r="A922" s="2">
        <v>45055</v>
      </c>
      <c r="B922" s="3">
        <v>27233</v>
      </c>
      <c r="C922" s="3">
        <v>27330</v>
      </c>
      <c r="D922" s="3">
        <v>27330</v>
      </c>
      <c r="E922" s="3">
        <v>27085</v>
      </c>
      <c r="F922" s="3">
        <v>10</v>
      </c>
      <c r="G922" s="7">
        <f t="shared" si="134"/>
        <v>0</v>
      </c>
      <c r="H922" s="5">
        <f t="shared" si="129"/>
        <v>-2.2349234263940791E-3</v>
      </c>
      <c r="I922" s="4">
        <f t="shared" si="130"/>
        <v>2.3840088024940399E-3</v>
      </c>
      <c r="J922" s="4">
        <f t="shared" si="131"/>
        <v>9.1558322651529023E-4</v>
      </c>
      <c r="K922" s="4">
        <f t="shared" si="132"/>
        <v>-5.3250091810503122E-3</v>
      </c>
      <c r="L922" s="4">
        <f t="shared" si="133"/>
        <v>-0.75</v>
      </c>
      <c r="M922" s="3">
        <f t="shared" si="126"/>
        <v>5</v>
      </c>
      <c r="N922" s="3">
        <f t="shared" si="127"/>
        <v>9</v>
      </c>
      <c r="O922" s="3">
        <f t="shared" si="128"/>
        <v>2</v>
      </c>
    </row>
    <row r="923" spans="1:15" x14ac:dyDescent="0.2">
      <c r="A923" s="2">
        <v>45056</v>
      </c>
      <c r="B923" s="3">
        <v>27132</v>
      </c>
      <c r="C923" s="3">
        <v>27255</v>
      </c>
      <c r="D923" s="3">
        <v>27340</v>
      </c>
      <c r="E923" s="3">
        <v>27055</v>
      </c>
      <c r="F923" s="3">
        <v>50</v>
      </c>
      <c r="G923" s="7">
        <f t="shared" si="134"/>
        <v>0</v>
      </c>
      <c r="H923" s="5">
        <f t="shared" si="129"/>
        <v>-3.7087357250394741E-3</v>
      </c>
      <c r="I923" s="4">
        <f t="shared" si="130"/>
        <v>-2.7442371020856204E-3</v>
      </c>
      <c r="J923" s="4">
        <f t="shared" si="131"/>
        <v>3.6589828027808267E-4</v>
      </c>
      <c r="K923" s="4">
        <f t="shared" si="132"/>
        <v>-1.1076241462063873E-3</v>
      </c>
      <c r="L923" s="4">
        <f t="shared" si="133"/>
        <v>4</v>
      </c>
      <c r="M923" s="3">
        <f t="shared" si="126"/>
        <v>5</v>
      </c>
      <c r="N923" s="3">
        <f t="shared" si="127"/>
        <v>10</v>
      </c>
      <c r="O923" s="3">
        <f t="shared" si="128"/>
        <v>3</v>
      </c>
    </row>
    <row r="924" spans="1:15" x14ac:dyDescent="0.2">
      <c r="A924" s="2">
        <v>45057</v>
      </c>
      <c r="B924" s="3">
        <v>26964</v>
      </c>
      <c r="C924" s="3">
        <v>27140</v>
      </c>
      <c r="D924" s="3">
        <v>27180</v>
      </c>
      <c r="E924" s="3">
        <v>26820</v>
      </c>
      <c r="F924" s="3">
        <v>30</v>
      </c>
      <c r="G924" s="7">
        <f t="shared" si="134"/>
        <v>0</v>
      </c>
      <c r="H924" s="5">
        <f t="shared" si="129"/>
        <v>-6.1919504643962852E-3</v>
      </c>
      <c r="I924" s="4">
        <f t="shared" si="130"/>
        <v>-4.2194092827004216E-3</v>
      </c>
      <c r="J924" s="4">
        <f t="shared" si="131"/>
        <v>-5.8522311631309439E-3</v>
      </c>
      <c r="K924" s="4">
        <f t="shared" si="132"/>
        <v>-8.6860099796710402E-3</v>
      </c>
      <c r="L924" s="4">
        <f t="shared" si="133"/>
        <v>-0.4</v>
      </c>
      <c r="M924" s="3">
        <f t="shared" si="126"/>
        <v>5</v>
      </c>
      <c r="N924" s="3">
        <f t="shared" si="127"/>
        <v>11</v>
      </c>
      <c r="O924" s="3">
        <f t="shared" si="128"/>
        <v>4</v>
      </c>
    </row>
    <row r="925" spans="1:15" x14ac:dyDescent="0.2">
      <c r="A925" s="2">
        <v>45058</v>
      </c>
      <c r="B925" s="3">
        <v>27202</v>
      </c>
      <c r="C925" s="3">
        <v>27290</v>
      </c>
      <c r="D925" s="3">
        <v>27290</v>
      </c>
      <c r="E925" s="3">
        <v>27180</v>
      </c>
      <c r="F925" s="3">
        <v>10</v>
      </c>
      <c r="G925" s="7">
        <f t="shared" si="134"/>
        <v>1</v>
      </c>
      <c r="H925" s="5">
        <f t="shared" si="129"/>
        <v>8.8265835929387335E-3</v>
      </c>
      <c r="I925" s="4">
        <f t="shared" si="130"/>
        <v>5.5268975681650699E-3</v>
      </c>
      <c r="J925" s="4">
        <f t="shared" si="131"/>
        <v>4.0470934510669614E-3</v>
      </c>
      <c r="K925" s="4">
        <f t="shared" si="132"/>
        <v>1.3422818791946308E-2</v>
      </c>
      <c r="L925" s="4">
        <f t="shared" si="133"/>
        <v>-0.66666666666666663</v>
      </c>
      <c r="M925" s="3">
        <f t="shared" si="126"/>
        <v>5</v>
      </c>
      <c r="N925" s="3">
        <f t="shared" si="127"/>
        <v>12</v>
      </c>
      <c r="O925" s="3">
        <f t="shared" si="128"/>
        <v>5</v>
      </c>
    </row>
    <row r="926" spans="1:15" x14ac:dyDescent="0.2">
      <c r="A926" s="2">
        <v>45061</v>
      </c>
      <c r="B926" s="3">
        <v>27108</v>
      </c>
      <c r="C926" s="3">
        <v>27285</v>
      </c>
      <c r="D926" s="3">
        <v>27310</v>
      </c>
      <c r="E926" s="3">
        <v>27085</v>
      </c>
      <c r="F926" s="3">
        <v>10</v>
      </c>
      <c r="G926" s="7">
        <f t="shared" si="134"/>
        <v>0</v>
      </c>
      <c r="H926" s="5">
        <f t="shared" si="129"/>
        <v>-3.4556282626277478E-3</v>
      </c>
      <c r="I926" s="4">
        <f t="shared" si="130"/>
        <v>-1.8321729571271528E-4</v>
      </c>
      <c r="J926" s="4">
        <f t="shared" si="131"/>
        <v>7.3286918285086111E-4</v>
      </c>
      <c r="K926" s="4">
        <f t="shared" si="132"/>
        <v>-3.495217071376012E-3</v>
      </c>
      <c r="L926" s="4">
        <f t="shared" si="133"/>
        <v>0</v>
      </c>
      <c r="M926" s="3">
        <f t="shared" si="126"/>
        <v>5</v>
      </c>
      <c r="N926" s="3">
        <f t="shared" si="127"/>
        <v>15</v>
      </c>
      <c r="O926" s="3">
        <f t="shared" si="128"/>
        <v>1</v>
      </c>
    </row>
    <row r="927" spans="1:15" x14ac:dyDescent="0.2">
      <c r="A927" s="2">
        <v>45062</v>
      </c>
      <c r="B927" s="3">
        <v>27065</v>
      </c>
      <c r="C927" s="3">
        <v>27160</v>
      </c>
      <c r="D927" s="3">
        <v>27160</v>
      </c>
      <c r="E927" s="3">
        <v>27075</v>
      </c>
      <c r="F927" s="3">
        <v>10</v>
      </c>
      <c r="G927" s="7">
        <f t="shared" si="134"/>
        <v>0</v>
      </c>
      <c r="H927" s="5">
        <f t="shared" si="129"/>
        <v>-1.5862476021838571E-3</v>
      </c>
      <c r="I927" s="4">
        <f t="shared" si="130"/>
        <v>-4.5812717610408654E-3</v>
      </c>
      <c r="J927" s="4">
        <f t="shared" si="131"/>
        <v>-5.4924935920908089E-3</v>
      </c>
      <c r="K927" s="4">
        <f t="shared" si="132"/>
        <v>-3.6920804873546244E-4</v>
      </c>
      <c r="L927" s="4">
        <f t="shared" si="133"/>
        <v>0</v>
      </c>
      <c r="M927" s="3">
        <f t="shared" si="126"/>
        <v>5</v>
      </c>
      <c r="N927" s="3">
        <f t="shared" si="127"/>
        <v>16</v>
      </c>
      <c r="O927" s="3">
        <f t="shared" si="128"/>
        <v>2</v>
      </c>
    </row>
    <row r="928" spans="1:15" x14ac:dyDescent="0.2">
      <c r="A928" s="2">
        <v>45063</v>
      </c>
      <c r="B928" s="3">
        <v>27043</v>
      </c>
      <c r="C928" s="3">
        <v>26900</v>
      </c>
      <c r="D928" s="3">
        <v>27210</v>
      </c>
      <c r="E928" s="3">
        <v>26840</v>
      </c>
      <c r="F928" s="3">
        <v>20</v>
      </c>
      <c r="G928" s="7">
        <f t="shared" si="134"/>
        <v>0</v>
      </c>
      <c r="H928" s="5">
        <f t="shared" si="129"/>
        <v>-8.1285793460188433E-4</v>
      </c>
      <c r="I928" s="4">
        <f t="shared" si="130"/>
        <v>-9.5729013254786458E-3</v>
      </c>
      <c r="J928" s="4">
        <f t="shared" si="131"/>
        <v>1.8409425625920471E-3</v>
      </c>
      <c r="K928" s="4">
        <f t="shared" si="132"/>
        <v>-8.6795937211449677E-3</v>
      </c>
      <c r="L928" s="4">
        <f t="shared" si="133"/>
        <v>1</v>
      </c>
      <c r="M928" s="3">
        <f t="shared" si="126"/>
        <v>5</v>
      </c>
      <c r="N928" s="3">
        <f t="shared" si="127"/>
        <v>17</v>
      </c>
      <c r="O928" s="3">
        <f t="shared" si="128"/>
        <v>3</v>
      </c>
    </row>
    <row r="929" spans="1:15" x14ac:dyDescent="0.2">
      <c r="A929" s="2">
        <v>45064</v>
      </c>
      <c r="B929" s="3">
        <v>27108</v>
      </c>
      <c r="C929" s="3">
        <v>27200</v>
      </c>
      <c r="D929" s="3">
        <v>27385</v>
      </c>
      <c r="E929" s="3">
        <v>27060</v>
      </c>
      <c r="F929" s="3">
        <v>40</v>
      </c>
      <c r="G929" s="7">
        <f t="shared" si="134"/>
        <v>1</v>
      </c>
      <c r="H929" s="5">
        <f t="shared" si="129"/>
        <v>2.403579484524646E-3</v>
      </c>
      <c r="I929" s="4">
        <f t="shared" si="130"/>
        <v>1.1152416356877323E-2</v>
      </c>
      <c r="J929" s="4">
        <f t="shared" si="131"/>
        <v>6.4314590224182283E-3</v>
      </c>
      <c r="K929" s="4">
        <f t="shared" si="132"/>
        <v>8.1967213114754103E-3</v>
      </c>
      <c r="L929" s="4">
        <f t="shared" si="133"/>
        <v>1</v>
      </c>
      <c r="M929" s="3">
        <f t="shared" si="126"/>
        <v>5</v>
      </c>
      <c r="N929" s="3">
        <f t="shared" si="127"/>
        <v>18</v>
      </c>
      <c r="O929" s="3">
        <f t="shared" si="128"/>
        <v>4</v>
      </c>
    </row>
    <row r="930" spans="1:15" x14ac:dyDescent="0.2">
      <c r="A930" s="2">
        <v>45065</v>
      </c>
      <c r="B930" s="3">
        <v>27361</v>
      </c>
      <c r="C930" s="3">
        <v>27245</v>
      </c>
      <c r="D930" s="3">
        <v>27515</v>
      </c>
      <c r="E930" s="3">
        <v>27160</v>
      </c>
      <c r="F930" s="3">
        <v>70</v>
      </c>
      <c r="G930" s="7">
        <f t="shared" si="134"/>
        <v>1</v>
      </c>
      <c r="H930" s="5">
        <f t="shared" si="129"/>
        <v>9.3330382175003685E-3</v>
      </c>
      <c r="I930" s="4">
        <f t="shared" si="130"/>
        <v>1.6544117647058823E-3</v>
      </c>
      <c r="J930" s="4">
        <f t="shared" si="131"/>
        <v>4.747124338141318E-3</v>
      </c>
      <c r="K930" s="4">
        <f t="shared" si="132"/>
        <v>3.6954915003695491E-3</v>
      </c>
      <c r="L930" s="4">
        <f t="shared" si="133"/>
        <v>0.75</v>
      </c>
      <c r="M930" s="3">
        <f t="shared" si="126"/>
        <v>5</v>
      </c>
      <c r="N930" s="3">
        <f t="shared" si="127"/>
        <v>19</v>
      </c>
      <c r="O930" s="3">
        <f t="shared" si="128"/>
        <v>5</v>
      </c>
    </row>
    <row r="931" spans="1:15" x14ac:dyDescent="0.2">
      <c r="A931" s="2">
        <v>45068</v>
      </c>
      <c r="B931" s="3">
        <v>27456</v>
      </c>
      <c r="C931" s="3">
        <v>27385</v>
      </c>
      <c r="D931" s="3">
        <v>27630</v>
      </c>
      <c r="E931" s="3">
        <v>27350</v>
      </c>
      <c r="F931" s="3">
        <v>20</v>
      </c>
      <c r="G931" s="7">
        <f t="shared" si="134"/>
        <v>1</v>
      </c>
      <c r="H931" s="5">
        <f t="shared" si="129"/>
        <v>3.4720953181535761E-3</v>
      </c>
      <c r="I931" s="4">
        <f t="shared" si="130"/>
        <v>5.1385575334923841E-3</v>
      </c>
      <c r="J931" s="4">
        <f t="shared" si="131"/>
        <v>4.1795384335816827E-3</v>
      </c>
      <c r="K931" s="4">
        <f t="shared" si="132"/>
        <v>6.9955817378497794E-3</v>
      </c>
      <c r="L931" s="4">
        <f t="shared" si="133"/>
        <v>-0.7142857142857143</v>
      </c>
      <c r="M931" s="3">
        <f t="shared" si="126"/>
        <v>5</v>
      </c>
      <c r="N931" s="3">
        <f t="shared" si="127"/>
        <v>22</v>
      </c>
      <c r="O931" s="3">
        <f t="shared" si="128"/>
        <v>1</v>
      </c>
    </row>
    <row r="932" spans="1:15" x14ac:dyDescent="0.2">
      <c r="A932" s="2">
        <v>45069</v>
      </c>
      <c r="B932" s="3">
        <v>27313</v>
      </c>
      <c r="C932" s="3">
        <v>27400</v>
      </c>
      <c r="D932" s="3">
        <v>27400</v>
      </c>
      <c r="E932" s="3">
        <v>27215</v>
      </c>
      <c r="F932" s="3">
        <v>30</v>
      </c>
      <c r="G932" s="7">
        <f t="shared" si="134"/>
        <v>0</v>
      </c>
      <c r="H932" s="5">
        <f t="shared" si="129"/>
        <v>-5.208333333333333E-3</v>
      </c>
      <c r="I932" s="4">
        <f t="shared" si="130"/>
        <v>5.4774511593938286E-4</v>
      </c>
      <c r="J932" s="4">
        <f t="shared" si="131"/>
        <v>-8.3242851972493669E-3</v>
      </c>
      <c r="K932" s="4">
        <f t="shared" si="132"/>
        <v>-4.936014625228519E-3</v>
      </c>
      <c r="L932" s="4">
        <f t="shared" si="133"/>
        <v>0.5</v>
      </c>
      <c r="M932" s="3">
        <f t="shared" si="126"/>
        <v>5</v>
      </c>
      <c r="N932" s="3">
        <f t="shared" si="127"/>
        <v>23</v>
      </c>
      <c r="O932" s="3">
        <f t="shared" si="128"/>
        <v>2</v>
      </c>
    </row>
    <row r="933" spans="1:15" x14ac:dyDescent="0.2">
      <c r="A933" s="2">
        <v>45070</v>
      </c>
      <c r="B933" s="3">
        <v>26680</v>
      </c>
      <c r="C933" s="3">
        <v>27095</v>
      </c>
      <c r="D933" s="3">
        <v>27095</v>
      </c>
      <c r="E933" s="3">
        <v>26615</v>
      </c>
      <c r="F933" s="3">
        <v>70</v>
      </c>
      <c r="G933" s="7">
        <f t="shared" si="134"/>
        <v>0</v>
      </c>
      <c r="H933" s="5">
        <f t="shared" si="129"/>
        <v>-2.3175777102478673E-2</v>
      </c>
      <c r="I933" s="4">
        <f t="shared" si="130"/>
        <v>-1.1131386861313869E-2</v>
      </c>
      <c r="J933" s="4">
        <f t="shared" si="131"/>
        <v>-1.1131386861313869E-2</v>
      </c>
      <c r="K933" s="4">
        <f t="shared" si="132"/>
        <v>-2.204666544185192E-2</v>
      </c>
      <c r="L933" s="4">
        <f t="shared" si="133"/>
        <v>1.3333333333333333</v>
      </c>
      <c r="M933" s="3">
        <f t="shared" si="126"/>
        <v>5</v>
      </c>
      <c r="N933" s="3">
        <f t="shared" si="127"/>
        <v>24</v>
      </c>
      <c r="O933" s="3">
        <f t="shared" si="128"/>
        <v>3</v>
      </c>
    </row>
    <row r="934" spans="1:15" x14ac:dyDescent="0.2">
      <c r="A934" s="2">
        <v>45071</v>
      </c>
      <c r="B934" s="3">
        <v>26559</v>
      </c>
      <c r="C934" s="3">
        <v>26765</v>
      </c>
      <c r="D934" s="3">
        <v>26765</v>
      </c>
      <c r="E934" s="3">
        <v>26445</v>
      </c>
      <c r="F934" s="3">
        <v>50</v>
      </c>
      <c r="G934" s="7">
        <f t="shared" si="134"/>
        <v>0</v>
      </c>
      <c r="H934" s="5">
        <f t="shared" si="129"/>
        <v>-4.5352323838080957E-3</v>
      </c>
      <c r="I934" s="4">
        <f t="shared" si="130"/>
        <v>-1.2179368887248569E-2</v>
      </c>
      <c r="J934" s="4">
        <f t="shared" si="131"/>
        <v>-1.2179368887248569E-2</v>
      </c>
      <c r="K934" s="4">
        <f t="shared" si="132"/>
        <v>-6.3873755401089609E-3</v>
      </c>
      <c r="L934" s="4">
        <f t="shared" si="133"/>
        <v>-0.2857142857142857</v>
      </c>
      <c r="M934" s="3">
        <f t="shared" si="126"/>
        <v>5</v>
      </c>
      <c r="N934" s="3">
        <f t="shared" si="127"/>
        <v>25</v>
      </c>
      <c r="O934" s="3">
        <f t="shared" si="128"/>
        <v>4</v>
      </c>
    </row>
    <row r="935" spans="1:15" x14ac:dyDescent="0.2">
      <c r="A935" s="2">
        <v>45072</v>
      </c>
      <c r="B935" s="3">
        <v>26844</v>
      </c>
      <c r="C935" s="3">
        <v>26585</v>
      </c>
      <c r="D935" s="3">
        <v>26875</v>
      </c>
      <c r="E935" s="3">
        <v>26315</v>
      </c>
      <c r="F935" s="3">
        <v>60</v>
      </c>
      <c r="G935" s="7">
        <f t="shared" si="134"/>
        <v>1</v>
      </c>
      <c r="H935" s="5">
        <f t="shared" si="129"/>
        <v>1.0730825708799277E-2</v>
      </c>
      <c r="I935" s="4">
        <f t="shared" si="130"/>
        <v>-6.7252008219689892E-3</v>
      </c>
      <c r="J935" s="4">
        <f t="shared" si="131"/>
        <v>4.1098449467588272E-3</v>
      </c>
      <c r="K935" s="4">
        <f t="shared" si="132"/>
        <v>-4.9158631121194929E-3</v>
      </c>
      <c r="L935" s="4">
        <f t="shared" si="133"/>
        <v>0.2</v>
      </c>
      <c r="M935" s="3">
        <f t="shared" si="126"/>
        <v>5</v>
      </c>
      <c r="N935" s="3">
        <f t="shared" si="127"/>
        <v>26</v>
      </c>
      <c r="O935" s="3">
        <f t="shared" si="128"/>
        <v>5</v>
      </c>
    </row>
    <row r="936" spans="1:15" x14ac:dyDescent="0.2">
      <c r="A936" s="2">
        <v>45075</v>
      </c>
      <c r="B936" s="3">
        <v>26746</v>
      </c>
      <c r="C936" s="3">
        <v>26990</v>
      </c>
      <c r="D936" s="3">
        <v>26990</v>
      </c>
      <c r="E936" s="3">
        <v>26650</v>
      </c>
      <c r="F936" s="3">
        <v>20</v>
      </c>
      <c r="G936" s="7">
        <f t="shared" si="134"/>
        <v>0</v>
      </c>
      <c r="H936" s="5">
        <f t="shared" si="129"/>
        <v>-3.650722694084339E-3</v>
      </c>
      <c r="I936" s="4">
        <f t="shared" si="130"/>
        <v>1.5234154598457776E-2</v>
      </c>
      <c r="J936" s="4">
        <f t="shared" si="131"/>
        <v>4.2790697674418609E-3</v>
      </c>
      <c r="K936" s="4">
        <f t="shared" si="132"/>
        <v>1.2730381911457344E-2</v>
      </c>
      <c r="L936" s="4">
        <f t="shared" si="133"/>
        <v>-0.66666666666666663</v>
      </c>
      <c r="M936" s="3">
        <f t="shared" si="126"/>
        <v>5</v>
      </c>
      <c r="N936" s="3">
        <f t="shared" si="127"/>
        <v>29</v>
      </c>
      <c r="O936" s="3">
        <f t="shared" si="128"/>
        <v>1</v>
      </c>
    </row>
    <row r="937" spans="1:15" x14ac:dyDescent="0.2">
      <c r="A937" s="2">
        <v>45076</v>
      </c>
      <c r="B937" s="3">
        <v>26708</v>
      </c>
      <c r="C937" s="3">
        <v>26750</v>
      </c>
      <c r="D937" s="3">
        <v>26920</v>
      </c>
      <c r="E937" s="3">
        <v>26610</v>
      </c>
      <c r="F937" s="3">
        <v>30</v>
      </c>
      <c r="G937" s="7">
        <f t="shared" si="134"/>
        <v>0</v>
      </c>
      <c r="H937" s="5">
        <f t="shared" si="129"/>
        <v>-1.4207731997308009E-3</v>
      </c>
      <c r="I937" s="4">
        <f t="shared" si="130"/>
        <v>-8.8921822897369395E-3</v>
      </c>
      <c r="J937" s="4">
        <f t="shared" si="131"/>
        <v>-2.5935531678399409E-3</v>
      </c>
      <c r="K937" s="4">
        <f t="shared" si="132"/>
        <v>-1.50093808630394E-3</v>
      </c>
      <c r="L937" s="4">
        <f t="shared" si="133"/>
        <v>0.5</v>
      </c>
      <c r="M937" s="3">
        <f t="shared" si="126"/>
        <v>5</v>
      </c>
      <c r="N937" s="3">
        <f t="shared" si="127"/>
        <v>30</v>
      </c>
      <c r="O937" s="3">
        <f t="shared" si="128"/>
        <v>2</v>
      </c>
    </row>
    <row r="938" spans="1:15" x14ac:dyDescent="0.2">
      <c r="A938" s="2">
        <v>45077</v>
      </c>
      <c r="B938" s="3">
        <v>26163</v>
      </c>
      <c r="C938" s="3">
        <v>26580</v>
      </c>
      <c r="D938" s="3">
        <v>26650</v>
      </c>
      <c r="E938" s="3">
        <v>26120</v>
      </c>
      <c r="F938" s="3">
        <v>160</v>
      </c>
      <c r="G938" s="7">
        <f t="shared" si="134"/>
        <v>0</v>
      </c>
      <c r="H938" s="5">
        <f t="shared" si="129"/>
        <v>-2.0405870900104837E-2</v>
      </c>
      <c r="I938" s="4">
        <f t="shared" si="130"/>
        <v>-6.3551401869158877E-3</v>
      </c>
      <c r="J938" s="4">
        <f t="shared" si="131"/>
        <v>-1.0029717682020803E-2</v>
      </c>
      <c r="K938" s="4">
        <f t="shared" si="132"/>
        <v>-1.8414130026305899E-2</v>
      </c>
      <c r="L938" s="4">
        <f t="shared" si="133"/>
        <v>4.333333333333333</v>
      </c>
      <c r="M938" s="3">
        <f t="shared" si="126"/>
        <v>5</v>
      </c>
      <c r="N938" s="3">
        <f t="shared" si="127"/>
        <v>31</v>
      </c>
      <c r="O938" s="3">
        <f t="shared" si="128"/>
        <v>3</v>
      </c>
    </row>
    <row r="939" spans="1:15" x14ac:dyDescent="0.2">
      <c r="A939" s="2">
        <v>45078</v>
      </c>
      <c r="B939" s="3">
        <v>26665</v>
      </c>
      <c r="C939" s="3">
        <v>26325</v>
      </c>
      <c r="D939" s="3">
        <v>26740</v>
      </c>
      <c r="E939" s="3">
        <v>26325</v>
      </c>
      <c r="F939" s="3">
        <v>80</v>
      </c>
      <c r="G939" s="7">
        <f t="shared" si="134"/>
        <v>1</v>
      </c>
      <c r="H939" s="5">
        <f t="shared" si="129"/>
        <v>1.9187402056339106E-2</v>
      </c>
      <c r="I939" s="4">
        <f t="shared" si="130"/>
        <v>-9.5936794582392772E-3</v>
      </c>
      <c r="J939" s="4">
        <f t="shared" si="131"/>
        <v>3.3771106941838649E-3</v>
      </c>
      <c r="K939" s="4">
        <f t="shared" si="132"/>
        <v>7.8483920367534449E-3</v>
      </c>
      <c r="L939" s="4">
        <f t="shared" si="133"/>
        <v>-0.5</v>
      </c>
      <c r="M939" s="3">
        <f t="shared" si="126"/>
        <v>6</v>
      </c>
      <c r="N939" s="3">
        <f t="shared" si="127"/>
        <v>1</v>
      </c>
      <c r="O939" s="3">
        <f t="shared" si="128"/>
        <v>4</v>
      </c>
    </row>
    <row r="940" spans="1:15" x14ac:dyDescent="0.2">
      <c r="A940" s="2">
        <v>45079</v>
      </c>
      <c r="B940" s="3">
        <v>27173</v>
      </c>
      <c r="C940" s="3">
        <v>26750</v>
      </c>
      <c r="D940" s="3">
        <v>27200</v>
      </c>
      <c r="E940" s="3">
        <v>26750</v>
      </c>
      <c r="F940" s="3">
        <v>80</v>
      </c>
      <c r="G940" s="7">
        <f t="shared" si="134"/>
        <v>1</v>
      </c>
      <c r="H940" s="5">
        <f t="shared" si="129"/>
        <v>1.9051190699418713E-2</v>
      </c>
      <c r="I940" s="4">
        <f t="shared" si="130"/>
        <v>1.6144349477682812E-2</v>
      </c>
      <c r="J940" s="4">
        <f t="shared" si="131"/>
        <v>1.7202692595362751E-2</v>
      </c>
      <c r="K940" s="4">
        <f t="shared" si="132"/>
        <v>1.6144349477682812E-2</v>
      </c>
      <c r="L940" s="4">
        <f t="shared" si="133"/>
        <v>0</v>
      </c>
      <c r="M940" s="3">
        <f t="shared" si="126"/>
        <v>6</v>
      </c>
      <c r="N940" s="3">
        <f t="shared" si="127"/>
        <v>2</v>
      </c>
      <c r="O940" s="3">
        <f t="shared" si="128"/>
        <v>5</v>
      </c>
    </row>
    <row r="941" spans="1:15" x14ac:dyDescent="0.2">
      <c r="A941" s="2">
        <v>45082</v>
      </c>
      <c r="B941" s="3">
        <v>26946</v>
      </c>
      <c r="C941" s="3">
        <v>27235</v>
      </c>
      <c r="D941" s="3">
        <v>27235</v>
      </c>
      <c r="E941" s="3">
        <v>26860</v>
      </c>
      <c r="F941" s="3">
        <v>90</v>
      </c>
      <c r="G941" s="7">
        <f t="shared" si="134"/>
        <v>0</v>
      </c>
      <c r="H941" s="5">
        <f t="shared" si="129"/>
        <v>-8.3538806903911966E-3</v>
      </c>
      <c r="I941" s="4">
        <f t="shared" si="130"/>
        <v>1.8130841121495326E-2</v>
      </c>
      <c r="J941" s="4">
        <f t="shared" si="131"/>
        <v>1.2867647058823529E-3</v>
      </c>
      <c r="K941" s="4">
        <f t="shared" si="132"/>
        <v>4.1121495327102802E-3</v>
      </c>
      <c r="L941" s="4">
        <f t="shared" si="133"/>
        <v>0.125</v>
      </c>
      <c r="M941" s="3">
        <f t="shared" si="126"/>
        <v>6</v>
      </c>
      <c r="N941" s="3">
        <f t="shared" si="127"/>
        <v>5</v>
      </c>
      <c r="O941" s="3">
        <f t="shared" si="128"/>
        <v>1</v>
      </c>
    </row>
    <row r="942" spans="1:15" x14ac:dyDescent="0.2">
      <c r="A942" s="2">
        <v>45083</v>
      </c>
      <c r="B942" s="3">
        <v>27129</v>
      </c>
      <c r="C942" s="3">
        <v>26865</v>
      </c>
      <c r="D942" s="3">
        <v>27185</v>
      </c>
      <c r="E942" s="3">
        <v>26815</v>
      </c>
      <c r="F942" s="3">
        <v>170</v>
      </c>
      <c r="G942" s="7">
        <f t="shared" si="134"/>
        <v>1</v>
      </c>
      <c r="H942" s="5">
        <f t="shared" si="129"/>
        <v>6.7913604987753281E-3</v>
      </c>
      <c r="I942" s="4">
        <f t="shared" si="130"/>
        <v>-1.3585459886175877E-2</v>
      </c>
      <c r="J942" s="4">
        <f t="shared" si="131"/>
        <v>-1.8358729575913347E-3</v>
      </c>
      <c r="K942" s="4">
        <f t="shared" si="132"/>
        <v>-1.6753536857781086E-3</v>
      </c>
      <c r="L942" s="4">
        <f t="shared" si="133"/>
        <v>0.88888888888888884</v>
      </c>
      <c r="M942" s="3">
        <f t="shared" si="126"/>
        <v>6</v>
      </c>
      <c r="N942" s="3">
        <f t="shared" si="127"/>
        <v>6</v>
      </c>
      <c r="O942" s="3">
        <f t="shared" si="128"/>
        <v>2</v>
      </c>
    </row>
    <row r="943" spans="1:15" x14ac:dyDescent="0.2">
      <c r="A943" s="2">
        <v>45084</v>
      </c>
      <c r="B943" s="3">
        <v>27155</v>
      </c>
      <c r="C943" s="3">
        <v>27110</v>
      </c>
      <c r="D943" s="3">
        <v>27170</v>
      </c>
      <c r="E943" s="3">
        <v>26895</v>
      </c>
      <c r="F943" s="3">
        <v>130</v>
      </c>
      <c r="G943" s="7">
        <f t="shared" si="134"/>
        <v>1</v>
      </c>
      <c r="H943" s="5">
        <f t="shared" si="129"/>
        <v>9.5838401710346866E-4</v>
      </c>
      <c r="I943" s="4">
        <f t="shared" si="130"/>
        <v>9.1196724362553501E-3</v>
      </c>
      <c r="J943" s="4">
        <f t="shared" si="131"/>
        <v>-5.5177487585065296E-4</v>
      </c>
      <c r="K943" s="4">
        <f t="shared" si="132"/>
        <v>2.9834048107402573E-3</v>
      </c>
      <c r="L943" s="4">
        <f t="shared" si="133"/>
        <v>-0.23529411764705882</v>
      </c>
      <c r="M943" s="3">
        <f t="shared" si="126"/>
        <v>6</v>
      </c>
      <c r="N943" s="3">
        <f t="shared" si="127"/>
        <v>7</v>
      </c>
      <c r="O943" s="3">
        <f t="shared" si="128"/>
        <v>3</v>
      </c>
    </row>
    <row r="944" spans="1:15" x14ac:dyDescent="0.2">
      <c r="A944" s="2">
        <v>45085</v>
      </c>
      <c r="B944" s="3">
        <v>27380</v>
      </c>
      <c r="C944" s="3">
        <v>27110</v>
      </c>
      <c r="D944" s="3">
        <v>27480</v>
      </c>
      <c r="E944" s="3">
        <v>27060</v>
      </c>
      <c r="F944" s="3">
        <v>280</v>
      </c>
      <c r="G944" s="7">
        <f t="shared" si="134"/>
        <v>1</v>
      </c>
      <c r="H944" s="5">
        <f t="shared" si="129"/>
        <v>8.2857668937580554E-3</v>
      </c>
      <c r="I944" s="4">
        <f t="shared" si="130"/>
        <v>0</v>
      </c>
      <c r="J944" s="4">
        <f t="shared" si="131"/>
        <v>1.1409642988590356E-2</v>
      </c>
      <c r="K944" s="4">
        <f t="shared" si="132"/>
        <v>6.1349693251533744E-3</v>
      </c>
      <c r="L944" s="4">
        <f t="shared" si="133"/>
        <v>1.1538461538461537</v>
      </c>
      <c r="M944" s="3">
        <f t="shared" si="126"/>
        <v>6</v>
      </c>
      <c r="N944" s="3">
        <f t="shared" si="127"/>
        <v>8</v>
      </c>
      <c r="O944" s="3">
        <f t="shared" si="128"/>
        <v>4</v>
      </c>
    </row>
    <row r="945" spans="1:15" x14ac:dyDescent="0.2">
      <c r="A945" s="2">
        <v>45086</v>
      </c>
      <c r="B945" s="3">
        <v>27266</v>
      </c>
      <c r="C945" s="3">
        <v>27370</v>
      </c>
      <c r="D945" s="3">
        <v>27455</v>
      </c>
      <c r="E945" s="3">
        <v>27180</v>
      </c>
      <c r="F945" s="3">
        <v>3980</v>
      </c>
      <c r="G945" s="7">
        <f t="shared" si="134"/>
        <v>0</v>
      </c>
      <c r="H945" s="5">
        <f t="shared" si="129"/>
        <v>-4.1636230825420019E-3</v>
      </c>
      <c r="I945" s="4">
        <f t="shared" si="130"/>
        <v>9.5905569900405756E-3</v>
      </c>
      <c r="J945" s="4">
        <f t="shared" si="131"/>
        <v>-9.0975254730713245E-4</v>
      </c>
      <c r="K945" s="4">
        <f t="shared" si="132"/>
        <v>4.434589800443459E-3</v>
      </c>
      <c r="L945" s="4">
        <f t="shared" si="133"/>
        <v>13.214285714285714</v>
      </c>
      <c r="M945" s="3">
        <f t="shared" si="126"/>
        <v>6</v>
      </c>
      <c r="N945" s="3">
        <f t="shared" si="127"/>
        <v>9</v>
      </c>
      <c r="O945" s="3">
        <f t="shared" si="128"/>
        <v>5</v>
      </c>
    </row>
    <row r="946" spans="1:15" x14ac:dyDescent="0.2">
      <c r="A946" s="2">
        <v>45089</v>
      </c>
      <c r="B946" s="3">
        <v>27505</v>
      </c>
      <c r="C946" s="3">
        <v>27380</v>
      </c>
      <c r="D946" s="3">
        <v>27585</v>
      </c>
      <c r="E946" s="3">
        <v>27335</v>
      </c>
      <c r="F946" s="3">
        <v>34920</v>
      </c>
      <c r="G946" s="7">
        <f t="shared" si="134"/>
        <v>1</v>
      </c>
      <c r="H946" s="5">
        <f t="shared" si="129"/>
        <v>8.7654954888872587E-3</v>
      </c>
      <c r="I946" s="4">
        <f t="shared" si="130"/>
        <v>3.6536353671903543E-4</v>
      </c>
      <c r="J946" s="4">
        <f t="shared" si="131"/>
        <v>4.7350209433618647E-3</v>
      </c>
      <c r="K946" s="4">
        <f t="shared" si="132"/>
        <v>5.7027225901398089E-3</v>
      </c>
      <c r="L946" s="4">
        <f t="shared" si="133"/>
        <v>7.7738693467336679</v>
      </c>
      <c r="M946" s="3">
        <f t="shared" si="126"/>
        <v>6</v>
      </c>
      <c r="N946" s="3">
        <f t="shared" si="127"/>
        <v>12</v>
      </c>
      <c r="O946" s="3">
        <f t="shared" si="128"/>
        <v>1</v>
      </c>
    </row>
    <row r="947" spans="1:15" x14ac:dyDescent="0.2">
      <c r="A947" s="2">
        <v>45090</v>
      </c>
      <c r="B947" s="3">
        <v>27697</v>
      </c>
      <c r="C947" s="3">
        <v>27600</v>
      </c>
      <c r="D947" s="3">
        <v>27720</v>
      </c>
      <c r="E947" s="3">
        <v>27455</v>
      </c>
      <c r="F947" s="3">
        <v>28890</v>
      </c>
      <c r="G947" s="7">
        <f t="shared" si="134"/>
        <v>1</v>
      </c>
      <c r="H947" s="5">
        <f t="shared" si="129"/>
        <v>6.9805489910925288E-3</v>
      </c>
      <c r="I947" s="4">
        <f t="shared" si="130"/>
        <v>8.0350620891161424E-3</v>
      </c>
      <c r="J947" s="4">
        <f t="shared" si="131"/>
        <v>4.8939641109298528E-3</v>
      </c>
      <c r="K947" s="4">
        <f t="shared" si="132"/>
        <v>4.389976220962136E-3</v>
      </c>
      <c r="L947" s="4">
        <f t="shared" si="133"/>
        <v>-0.17268041237113402</v>
      </c>
      <c r="M947" s="3">
        <f t="shared" si="126"/>
        <v>6</v>
      </c>
      <c r="N947" s="3">
        <f t="shared" si="127"/>
        <v>13</v>
      </c>
      <c r="O947" s="3">
        <f t="shared" si="128"/>
        <v>2</v>
      </c>
    </row>
    <row r="948" spans="1:15" x14ac:dyDescent="0.2">
      <c r="A948" s="2">
        <v>45091</v>
      </c>
      <c r="B948" s="3">
        <v>27937</v>
      </c>
      <c r="C948" s="3">
        <v>27660</v>
      </c>
      <c r="D948" s="3">
        <v>28085</v>
      </c>
      <c r="E948" s="3">
        <v>27630</v>
      </c>
      <c r="F948" s="3">
        <v>23900</v>
      </c>
      <c r="G948" s="7">
        <f t="shared" si="134"/>
        <v>1</v>
      </c>
      <c r="H948" s="5">
        <f t="shared" si="129"/>
        <v>8.6651983969382972E-3</v>
      </c>
      <c r="I948" s="4">
        <f t="shared" si="130"/>
        <v>2.1739130434782609E-3</v>
      </c>
      <c r="J948" s="4">
        <f t="shared" si="131"/>
        <v>1.3167388167388168E-2</v>
      </c>
      <c r="K948" s="4">
        <f t="shared" si="132"/>
        <v>6.3740666545255877E-3</v>
      </c>
      <c r="L948" s="4">
        <f t="shared" si="133"/>
        <v>-0.17272412599515402</v>
      </c>
      <c r="M948" s="3">
        <f t="shared" si="126"/>
        <v>6</v>
      </c>
      <c r="N948" s="3">
        <f t="shared" si="127"/>
        <v>14</v>
      </c>
      <c r="O948" s="3">
        <f t="shared" si="128"/>
        <v>3</v>
      </c>
    </row>
    <row r="949" spans="1:15" x14ac:dyDescent="0.2">
      <c r="A949" s="2">
        <v>45092</v>
      </c>
      <c r="B949" s="3">
        <v>27831</v>
      </c>
      <c r="C949" s="3">
        <v>27840</v>
      </c>
      <c r="D949" s="3">
        <v>27885</v>
      </c>
      <c r="E949" s="3">
        <v>27645</v>
      </c>
      <c r="F949" s="3">
        <v>16820</v>
      </c>
      <c r="G949" s="7">
        <f t="shared" si="134"/>
        <v>0</v>
      </c>
      <c r="H949" s="5">
        <f t="shared" si="129"/>
        <v>-3.7942513512546085E-3</v>
      </c>
      <c r="I949" s="4">
        <f t="shared" si="130"/>
        <v>6.5075921908893707E-3</v>
      </c>
      <c r="J949" s="4">
        <f t="shared" si="131"/>
        <v>-7.1212390956026349E-3</v>
      </c>
      <c r="K949" s="4">
        <f t="shared" si="132"/>
        <v>5.428881650380022E-4</v>
      </c>
      <c r="L949" s="4">
        <f t="shared" si="133"/>
        <v>-0.29623430962343095</v>
      </c>
      <c r="M949" s="3">
        <f t="shared" si="126"/>
        <v>6</v>
      </c>
      <c r="N949" s="3">
        <f t="shared" si="127"/>
        <v>15</v>
      </c>
      <c r="O949" s="3">
        <f t="shared" si="128"/>
        <v>4</v>
      </c>
    </row>
    <row r="950" spans="1:15" x14ac:dyDescent="0.2">
      <c r="A950" s="2">
        <v>45093</v>
      </c>
      <c r="B950" s="3">
        <v>27960</v>
      </c>
      <c r="C950" s="3">
        <v>27880</v>
      </c>
      <c r="D950" s="3">
        <v>28060</v>
      </c>
      <c r="E950" s="3">
        <v>27785</v>
      </c>
      <c r="F950" s="3">
        <v>19890</v>
      </c>
      <c r="G950" s="7">
        <f t="shared" si="134"/>
        <v>1</v>
      </c>
      <c r="H950" s="5">
        <f t="shared" si="129"/>
        <v>4.635119111781826E-3</v>
      </c>
      <c r="I950" s="4">
        <f t="shared" si="130"/>
        <v>1.4367816091954023E-3</v>
      </c>
      <c r="J950" s="4">
        <f t="shared" si="131"/>
        <v>6.2757755065447375E-3</v>
      </c>
      <c r="K950" s="4">
        <f t="shared" si="132"/>
        <v>5.0642069090251398E-3</v>
      </c>
      <c r="L950" s="4">
        <f t="shared" si="133"/>
        <v>0.18252080856123662</v>
      </c>
      <c r="M950" s="3">
        <f t="shared" si="126"/>
        <v>6</v>
      </c>
      <c r="N950" s="3">
        <f t="shared" si="127"/>
        <v>16</v>
      </c>
      <c r="O950" s="3">
        <f t="shared" si="128"/>
        <v>5</v>
      </c>
    </row>
    <row r="951" spans="1:15" x14ac:dyDescent="0.2">
      <c r="A951" s="2">
        <v>45096</v>
      </c>
      <c r="B951" s="3">
        <v>27924</v>
      </c>
      <c r="C951" s="3">
        <v>27955</v>
      </c>
      <c r="D951" s="3">
        <v>27990</v>
      </c>
      <c r="E951" s="3">
        <v>27885</v>
      </c>
      <c r="F951" s="3">
        <v>10</v>
      </c>
      <c r="G951" s="7">
        <f t="shared" si="134"/>
        <v>0</v>
      </c>
      <c r="H951" s="5">
        <f t="shared" si="129"/>
        <v>-1.2875536480686696E-3</v>
      </c>
      <c r="I951" s="4">
        <f t="shared" si="130"/>
        <v>2.6901004304160691E-3</v>
      </c>
      <c r="J951" s="4">
        <f t="shared" si="131"/>
        <v>-2.4946543121881683E-3</v>
      </c>
      <c r="K951" s="4">
        <f t="shared" si="132"/>
        <v>3.5990642432967429E-3</v>
      </c>
      <c r="L951" s="4">
        <f t="shared" si="133"/>
        <v>-0.99949723479135244</v>
      </c>
      <c r="M951" s="3">
        <f t="shared" si="126"/>
        <v>6</v>
      </c>
      <c r="N951" s="3">
        <f t="shared" si="127"/>
        <v>19</v>
      </c>
      <c r="O951" s="3">
        <f t="shared" si="128"/>
        <v>1</v>
      </c>
    </row>
    <row r="952" spans="1:15" x14ac:dyDescent="0.2">
      <c r="A952" s="2">
        <v>45097</v>
      </c>
      <c r="B952" s="3">
        <v>27768</v>
      </c>
      <c r="C952" s="3">
        <v>27845</v>
      </c>
      <c r="D952" s="3">
        <v>27975</v>
      </c>
      <c r="E952" s="3">
        <v>27765</v>
      </c>
      <c r="F952" s="3">
        <v>40</v>
      </c>
      <c r="G952" s="7">
        <f t="shared" si="134"/>
        <v>0</v>
      </c>
      <c r="H952" s="5">
        <f t="shared" si="129"/>
        <v>-5.5865921787709499E-3</v>
      </c>
      <c r="I952" s="4">
        <f t="shared" si="130"/>
        <v>-3.9348953675549993E-3</v>
      </c>
      <c r="J952" s="4">
        <f t="shared" si="131"/>
        <v>-5.3590568060021436E-4</v>
      </c>
      <c r="K952" s="4">
        <f t="shared" si="132"/>
        <v>-4.3033889187735338E-3</v>
      </c>
      <c r="L952" s="4">
        <f t="shared" si="133"/>
        <v>3</v>
      </c>
      <c r="M952" s="3">
        <f t="shared" si="126"/>
        <v>6</v>
      </c>
      <c r="N952" s="3">
        <f t="shared" si="127"/>
        <v>20</v>
      </c>
      <c r="O952" s="3">
        <f t="shared" si="128"/>
        <v>2</v>
      </c>
    </row>
    <row r="953" spans="1:15" x14ac:dyDescent="0.2">
      <c r="A953" s="2">
        <v>45098</v>
      </c>
      <c r="B953" s="3">
        <v>27791</v>
      </c>
      <c r="C953" s="3">
        <v>27755</v>
      </c>
      <c r="D953" s="3">
        <v>27865</v>
      </c>
      <c r="E953" s="3">
        <v>27745</v>
      </c>
      <c r="F953" s="3">
        <v>40</v>
      </c>
      <c r="G953" s="7">
        <f t="shared" si="134"/>
        <v>1</v>
      </c>
      <c r="H953" s="5">
        <f t="shared" si="129"/>
        <v>8.2829155862863726E-4</v>
      </c>
      <c r="I953" s="4">
        <f t="shared" si="130"/>
        <v>-3.2321781289279942E-3</v>
      </c>
      <c r="J953" s="4">
        <f t="shared" si="131"/>
        <v>-3.9320822162645219E-3</v>
      </c>
      <c r="K953" s="4">
        <f t="shared" si="132"/>
        <v>-7.2033135242211422E-4</v>
      </c>
      <c r="L953" s="4">
        <f t="shared" si="133"/>
        <v>0</v>
      </c>
      <c r="M953" s="3">
        <f t="shared" si="126"/>
        <v>6</v>
      </c>
      <c r="N953" s="3">
        <f t="shared" si="127"/>
        <v>21</v>
      </c>
      <c r="O953" s="3">
        <f t="shared" si="128"/>
        <v>3</v>
      </c>
    </row>
    <row r="954" spans="1:15" x14ac:dyDescent="0.2">
      <c r="A954" s="2">
        <v>45099</v>
      </c>
      <c r="B954" s="3">
        <v>27562</v>
      </c>
      <c r="C954" s="3">
        <v>27595</v>
      </c>
      <c r="D954" s="3">
        <v>27625</v>
      </c>
      <c r="E954" s="3">
        <v>27270</v>
      </c>
      <c r="F954" s="3">
        <v>60</v>
      </c>
      <c r="G954" s="7">
        <f t="shared" si="134"/>
        <v>0</v>
      </c>
      <c r="H954" s="5">
        <f t="shared" si="129"/>
        <v>-8.2400777230038497E-3</v>
      </c>
      <c r="I954" s="4">
        <f t="shared" si="130"/>
        <v>-5.764727076202486E-3</v>
      </c>
      <c r="J954" s="4">
        <f t="shared" si="131"/>
        <v>-8.6129553202942757E-3</v>
      </c>
      <c r="K954" s="4">
        <f t="shared" si="132"/>
        <v>-1.7120201838169039E-2</v>
      </c>
      <c r="L954" s="4">
        <f t="shared" si="133"/>
        <v>0.5</v>
      </c>
      <c r="M954" s="3">
        <f t="shared" si="126"/>
        <v>6</v>
      </c>
      <c r="N954" s="3">
        <f t="shared" si="127"/>
        <v>22</v>
      </c>
      <c r="O954" s="3">
        <f t="shared" si="128"/>
        <v>4</v>
      </c>
    </row>
    <row r="955" spans="1:15" x14ac:dyDescent="0.2">
      <c r="A955" s="2">
        <v>45100</v>
      </c>
      <c r="B955" s="3">
        <v>27364</v>
      </c>
      <c r="C955" s="3">
        <v>27440</v>
      </c>
      <c r="D955" s="3">
        <v>27475</v>
      </c>
      <c r="E955" s="3">
        <v>27290</v>
      </c>
      <c r="F955" s="3">
        <v>10</v>
      </c>
      <c r="G955" s="7">
        <f t="shared" si="134"/>
        <v>0</v>
      </c>
      <c r="H955" s="5">
        <f t="shared" si="129"/>
        <v>-7.1838037878238156E-3</v>
      </c>
      <c r="I955" s="4">
        <f t="shared" si="130"/>
        <v>-5.6169595941293711E-3</v>
      </c>
      <c r="J955" s="4">
        <f t="shared" si="131"/>
        <v>-5.4298642533936649E-3</v>
      </c>
      <c r="K955" s="4">
        <f t="shared" si="132"/>
        <v>7.334066740007334E-4</v>
      </c>
      <c r="L955" s="4">
        <f t="shared" si="133"/>
        <v>-0.83333333333333337</v>
      </c>
      <c r="M955" s="3">
        <f t="shared" si="126"/>
        <v>6</v>
      </c>
      <c r="N955" s="3">
        <f t="shared" si="127"/>
        <v>23</v>
      </c>
      <c r="O955" s="3">
        <f t="shared" si="128"/>
        <v>5</v>
      </c>
    </row>
    <row r="956" spans="1:15" x14ac:dyDescent="0.2">
      <c r="A956" s="2">
        <v>45103</v>
      </c>
      <c r="B956" s="3">
        <v>27405</v>
      </c>
      <c r="C956" s="3">
        <v>27145</v>
      </c>
      <c r="D956" s="3">
        <v>27460</v>
      </c>
      <c r="E956" s="3">
        <v>27020</v>
      </c>
      <c r="F956" s="3">
        <v>30</v>
      </c>
      <c r="G956" s="7">
        <f t="shared" si="134"/>
        <v>1</v>
      </c>
      <c r="H956" s="5">
        <f t="shared" si="129"/>
        <v>1.4983189592164888E-3</v>
      </c>
      <c r="I956" s="4">
        <f t="shared" si="130"/>
        <v>-1.0750728862973761E-2</v>
      </c>
      <c r="J956" s="4">
        <f t="shared" si="131"/>
        <v>-5.4595086442220202E-4</v>
      </c>
      <c r="K956" s="4">
        <f t="shared" si="132"/>
        <v>-9.8937339684866243E-3</v>
      </c>
      <c r="L956" s="4">
        <f t="shared" si="133"/>
        <v>2</v>
      </c>
      <c r="M956" s="3">
        <f t="shared" si="126"/>
        <v>6</v>
      </c>
      <c r="N956" s="3">
        <f t="shared" si="127"/>
        <v>26</v>
      </c>
      <c r="O956" s="3">
        <f t="shared" si="128"/>
        <v>1</v>
      </c>
    </row>
    <row r="957" spans="1:15" x14ac:dyDescent="0.2">
      <c r="A957" s="2">
        <v>45104</v>
      </c>
      <c r="B957" s="3">
        <v>27559</v>
      </c>
      <c r="C957" s="3">
        <v>27420</v>
      </c>
      <c r="D957" s="3">
        <v>27675</v>
      </c>
      <c r="E957" s="3">
        <v>27395</v>
      </c>
      <c r="F957" s="3">
        <v>10</v>
      </c>
      <c r="G957" s="7">
        <f t="shared" si="134"/>
        <v>1</v>
      </c>
      <c r="H957" s="5">
        <f t="shared" si="129"/>
        <v>5.6194125159642399E-3</v>
      </c>
      <c r="I957" s="4">
        <f t="shared" si="130"/>
        <v>1.0130779149014552E-2</v>
      </c>
      <c r="J957" s="4">
        <f t="shared" si="131"/>
        <v>7.8295702840495262E-3</v>
      </c>
      <c r="K957" s="4">
        <f t="shared" si="132"/>
        <v>1.387860843819393E-2</v>
      </c>
      <c r="L957" s="4">
        <f t="shared" si="133"/>
        <v>-0.66666666666666663</v>
      </c>
      <c r="M957" s="3">
        <f t="shared" si="126"/>
        <v>6</v>
      </c>
      <c r="N957" s="3">
        <f t="shared" si="127"/>
        <v>27</v>
      </c>
      <c r="O957" s="3">
        <f t="shared" si="128"/>
        <v>2</v>
      </c>
    </row>
    <row r="958" spans="1:15" x14ac:dyDescent="0.2">
      <c r="A958" s="2">
        <v>45105</v>
      </c>
      <c r="B958" s="3">
        <v>27792</v>
      </c>
      <c r="C958" s="3">
        <v>27705</v>
      </c>
      <c r="D958" s="3">
        <v>27830</v>
      </c>
      <c r="E958" s="3">
        <v>27665</v>
      </c>
      <c r="F958" s="3">
        <v>20</v>
      </c>
      <c r="G958" s="7">
        <f t="shared" si="134"/>
        <v>1</v>
      </c>
      <c r="H958" s="5">
        <f t="shared" si="129"/>
        <v>8.4545883377481045E-3</v>
      </c>
      <c r="I958" s="4">
        <f t="shared" si="130"/>
        <v>1.0393873085339168E-2</v>
      </c>
      <c r="J958" s="4">
        <f t="shared" si="131"/>
        <v>5.6007226738934053E-3</v>
      </c>
      <c r="K958" s="4">
        <f t="shared" si="132"/>
        <v>9.8558131045811282E-3</v>
      </c>
      <c r="L958" s="4">
        <f t="shared" si="133"/>
        <v>1</v>
      </c>
      <c r="M958" s="3">
        <f t="shared" si="126"/>
        <v>6</v>
      </c>
      <c r="N958" s="3">
        <f t="shared" si="127"/>
        <v>28</v>
      </c>
      <c r="O958" s="3">
        <f t="shared" si="128"/>
        <v>3</v>
      </c>
    </row>
    <row r="959" spans="1:15" x14ac:dyDescent="0.2">
      <c r="A959" s="2">
        <v>45106</v>
      </c>
      <c r="B959" s="3">
        <v>28060</v>
      </c>
      <c r="C959" s="3">
        <v>28070</v>
      </c>
      <c r="D959" s="3">
        <v>28070</v>
      </c>
      <c r="E959" s="3">
        <v>28070</v>
      </c>
      <c r="F959" s="3">
        <v>10</v>
      </c>
      <c r="G959" s="7">
        <f t="shared" si="134"/>
        <v>1</v>
      </c>
      <c r="H959" s="5">
        <f t="shared" si="129"/>
        <v>9.643062751871042E-3</v>
      </c>
      <c r="I959" s="4">
        <f t="shared" si="130"/>
        <v>1.3174517235156108E-2</v>
      </c>
      <c r="J959" s="4">
        <f t="shared" si="131"/>
        <v>8.6237872799137614E-3</v>
      </c>
      <c r="K959" s="4">
        <f t="shared" si="132"/>
        <v>1.4639436110609073E-2</v>
      </c>
      <c r="L959" s="4">
        <f t="shared" si="133"/>
        <v>-0.5</v>
      </c>
      <c r="M959" s="3">
        <f t="shared" si="126"/>
        <v>6</v>
      </c>
      <c r="N959" s="3">
        <f t="shared" si="127"/>
        <v>29</v>
      </c>
      <c r="O959" s="3">
        <f t="shared" si="128"/>
        <v>4</v>
      </c>
    </row>
    <row r="960" spans="1:15" x14ac:dyDescent="0.2">
      <c r="A960" s="2">
        <v>45107</v>
      </c>
      <c r="B960" s="3">
        <v>28388</v>
      </c>
      <c r="C960" s="3">
        <v>28230</v>
      </c>
      <c r="D960" s="3">
        <v>28485</v>
      </c>
      <c r="E960" s="3">
        <v>28230</v>
      </c>
      <c r="F960" s="3">
        <v>60</v>
      </c>
      <c r="G960" s="7">
        <f t="shared" si="134"/>
        <v>1</v>
      </c>
      <c r="H960" s="5">
        <f t="shared" si="129"/>
        <v>1.1689237348538845E-2</v>
      </c>
      <c r="I960" s="4">
        <f t="shared" si="130"/>
        <v>5.7000356252226575E-3</v>
      </c>
      <c r="J960" s="4">
        <f t="shared" si="131"/>
        <v>1.4784467402921268E-2</v>
      </c>
      <c r="K960" s="4">
        <f t="shared" si="132"/>
        <v>5.7000356252226575E-3</v>
      </c>
      <c r="L960" s="4">
        <f>(F960-F959)/F959</f>
        <v>5</v>
      </c>
      <c r="M960" s="3">
        <f t="shared" si="126"/>
        <v>6</v>
      </c>
      <c r="N960" s="3">
        <f t="shared" si="127"/>
        <v>30</v>
      </c>
      <c r="O960" s="3">
        <f t="shared" si="128"/>
        <v>5</v>
      </c>
    </row>
    <row r="961" spans="1:15" x14ac:dyDescent="0.2">
      <c r="A961" s="2">
        <v>45110</v>
      </c>
      <c r="B961" s="3">
        <v>28610</v>
      </c>
      <c r="C961" s="3">
        <v>28540</v>
      </c>
      <c r="D961" s="3">
        <v>28690</v>
      </c>
      <c r="E961" s="3">
        <v>28535</v>
      </c>
      <c r="F961" s="3">
        <v>40</v>
      </c>
      <c r="G961" s="7">
        <f t="shared" si="134"/>
        <v>1</v>
      </c>
      <c r="H961" s="5">
        <f t="shared" si="129"/>
        <v>7.8202057207270685E-3</v>
      </c>
      <c r="I961" s="4">
        <f t="shared" si="130"/>
        <v>1.0981225646475381E-2</v>
      </c>
      <c r="J961" s="4">
        <f t="shared" si="131"/>
        <v>7.196770229945585E-3</v>
      </c>
      <c r="K961" s="4">
        <f t="shared" si="132"/>
        <v>1.0804109103790293E-2</v>
      </c>
      <c r="L961" s="4">
        <f t="shared" si="133"/>
        <v>-0.33333333333333331</v>
      </c>
      <c r="M961" s="3">
        <f t="shared" si="126"/>
        <v>7</v>
      </c>
      <c r="N961" s="3">
        <f t="shared" si="127"/>
        <v>3</v>
      </c>
      <c r="O961" s="3">
        <f t="shared" si="128"/>
        <v>1</v>
      </c>
    </row>
    <row r="962" spans="1:15" x14ac:dyDescent="0.2">
      <c r="A962" s="2">
        <v>45111</v>
      </c>
      <c r="B962" s="3">
        <v>28552</v>
      </c>
      <c r="C962" s="3">
        <v>28635</v>
      </c>
      <c r="D962" s="3">
        <v>28635</v>
      </c>
      <c r="E962" s="3">
        <v>28510</v>
      </c>
      <c r="F962" s="3">
        <v>10</v>
      </c>
      <c r="G962" s="7">
        <f t="shared" si="134"/>
        <v>0</v>
      </c>
      <c r="H962" s="5">
        <f t="shared" si="129"/>
        <v>-2.0272631946871723E-3</v>
      </c>
      <c r="I962" s="4">
        <f t="shared" si="130"/>
        <v>3.3286615276804485E-3</v>
      </c>
      <c r="J962" s="4">
        <f t="shared" si="131"/>
        <v>-1.9170442662948763E-3</v>
      </c>
      <c r="K962" s="4">
        <f t="shared" si="132"/>
        <v>-8.7611704923777818E-4</v>
      </c>
      <c r="L962" s="4">
        <f t="shared" si="133"/>
        <v>-0.75</v>
      </c>
      <c r="M962" s="3">
        <f t="shared" ref="M962:M1025" si="135">MONTH(A962)</f>
        <v>7</v>
      </c>
      <c r="N962" s="3">
        <f t="shared" ref="N962:N1025" si="136">DAY(A962)</f>
        <v>4</v>
      </c>
      <c r="O962" s="3">
        <f t="shared" ref="O962:O1025" si="137">WEEKDAY(A962,2)</f>
        <v>2</v>
      </c>
    </row>
    <row r="963" spans="1:15" x14ac:dyDescent="0.2">
      <c r="A963" s="2">
        <v>45112</v>
      </c>
      <c r="B963" s="3">
        <v>28377</v>
      </c>
      <c r="C963" s="3">
        <v>28480</v>
      </c>
      <c r="D963" s="3">
        <v>28500</v>
      </c>
      <c r="E963" s="3">
        <v>28370</v>
      </c>
      <c r="F963" s="3">
        <v>20</v>
      </c>
      <c r="G963" s="7">
        <f t="shared" si="134"/>
        <v>0</v>
      </c>
      <c r="H963" s="5">
        <f t="shared" ref="H963:H1026" si="138">(B963-B962)/B962</f>
        <v>-6.1291678341272061E-3</v>
      </c>
      <c r="I963" s="4">
        <f t="shared" ref="I963:I1026" si="139">(C963-C962)/C962</f>
        <v>-5.4129561725161516E-3</v>
      </c>
      <c r="J963" s="4">
        <f t="shared" ref="J963:J1026" si="140">(D963-D962)/D962</f>
        <v>-4.7145102147721323E-3</v>
      </c>
      <c r="K963" s="4">
        <f t="shared" ref="K963:K1026" si="141">(E963-E962)/E962</f>
        <v>-4.9105576990529642E-3</v>
      </c>
      <c r="L963" s="4">
        <f t="shared" ref="L963:L1026" si="142">(F963-F962)/F962</f>
        <v>1</v>
      </c>
      <c r="M963" s="3">
        <f t="shared" si="135"/>
        <v>7</v>
      </c>
      <c r="N963" s="3">
        <f t="shared" si="136"/>
        <v>5</v>
      </c>
      <c r="O963" s="3">
        <f t="shared" si="137"/>
        <v>3</v>
      </c>
    </row>
    <row r="964" spans="1:15" x14ac:dyDescent="0.2">
      <c r="A964" s="2">
        <v>45113</v>
      </c>
      <c r="B964" s="3">
        <v>27627</v>
      </c>
      <c r="C964" s="3">
        <v>28215</v>
      </c>
      <c r="D964" s="3">
        <v>28220</v>
      </c>
      <c r="E964" s="3">
        <v>27575</v>
      </c>
      <c r="F964" s="3">
        <v>50</v>
      </c>
      <c r="G964" s="7">
        <f t="shared" ref="G964:G1027" si="143">IF(H964&lt;0, 0, 1)</f>
        <v>0</v>
      </c>
      <c r="H964" s="5">
        <f t="shared" si="138"/>
        <v>-2.6429855164393699E-2</v>
      </c>
      <c r="I964" s="4">
        <f t="shared" si="139"/>
        <v>-9.3047752808988766E-3</v>
      </c>
      <c r="J964" s="4">
        <f t="shared" si="140"/>
        <v>-9.8245614035087723E-3</v>
      </c>
      <c r="K964" s="4">
        <f t="shared" si="141"/>
        <v>-2.8022559041240746E-2</v>
      </c>
      <c r="L964" s="4">
        <f t="shared" si="142"/>
        <v>1.5</v>
      </c>
      <c r="M964" s="3">
        <f t="shared" si="135"/>
        <v>7</v>
      </c>
      <c r="N964" s="3">
        <f t="shared" si="136"/>
        <v>6</v>
      </c>
      <c r="O964" s="3">
        <f t="shared" si="137"/>
        <v>4</v>
      </c>
    </row>
    <row r="965" spans="1:15" x14ac:dyDescent="0.2">
      <c r="A965" s="2">
        <v>45114</v>
      </c>
      <c r="B965" s="3">
        <v>27880</v>
      </c>
      <c r="C965" s="3">
        <v>27615</v>
      </c>
      <c r="D965" s="3">
        <v>27975</v>
      </c>
      <c r="E965" s="3">
        <v>27505</v>
      </c>
      <c r="F965" s="3">
        <v>30</v>
      </c>
      <c r="G965" s="7">
        <f t="shared" si="143"/>
        <v>1</v>
      </c>
      <c r="H965" s="5">
        <f t="shared" si="138"/>
        <v>9.1577080392369788E-3</v>
      </c>
      <c r="I965" s="4">
        <f t="shared" si="139"/>
        <v>-2.1265284423179161E-2</v>
      </c>
      <c r="J965" s="4">
        <f t="shared" si="140"/>
        <v>-8.6817859673990073E-3</v>
      </c>
      <c r="K965" s="4">
        <f t="shared" si="141"/>
        <v>-2.5385312783318221E-3</v>
      </c>
      <c r="L965" s="4">
        <f t="shared" si="142"/>
        <v>-0.4</v>
      </c>
      <c r="M965" s="3">
        <f t="shared" si="135"/>
        <v>7</v>
      </c>
      <c r="N965" s="3">
        <f t="shared" si="136"/>
        <v>7</v>
      </c>
      <c r="O965" s="3">
        <f t="shared" si="137"/>
        <v>5</v>
      </c>
    </row>
    <row r="966" spans="1:15" x14ac:dyDescent="0.2">
      <c r="A966" s="2">
        <v>45117</v>
      </c>
      <c r="B966" s="3">
        <v>27988</v>
      </c>
      <c r="C966" s="3">
        <v>27715</v>
      </c>
      <c r="D966" s="3">
        <v>28120</v>
      </c>
      <c r="E966" s="3">
        <v>27715</v>
      </c>
      <c r="F966" s="3">
        <v>20</v>
      </c>
      <c r="G966" s="7">
        <f t="shared" si="143"/>
        <v>1</v>
      </c>
      <c r="H966" s="5">
        <f t="shared" si="138"/>
        <v>3.8737446197991392E-3</v>
      </c>
      <c r="I966" s="4">
        <f t="shared" si="139"/>
        <v>3.621220351258374E-3</v>
      </c>
      <c r="J966" s="4">
        <f t="shared" si="140"/>
        <v>5.1831992850759605E-3</v>
      </c>
      <c r="K966" s="4">
        <f t="shared" si="141"/>
        <v>7.6349754590074531E-3</v>
      </c>
      <c r="L966" s="4">
        <f t="shared" si="142"/>
        <v>-0.33333333333333331</v>
      </c>
      <c r="M966" s="3">
        <f t="shared" si="135"/>
        <v>7</v>
      </c>
      <c r="N966" s="3">
        <f t="shared" si="136"/>
        <v>10</v>
      </c>
      <c r="O966" s="3">
        <f t="shared" si="137"/>
        <v>1</v>
      </c>
    </row>
    <row r="967" spans="1:15" x14ac:dyDescent="0.2">
      <c r="A967" s="2">
        <v>45118</v>
      </c>
      <c r="B967" s="3">
        <v>28176</v>
      </c>
      <c r="C967" s="3">
        <v>28160</v>
      </c>
      <c r="D967" s="3">
        <v>28220</v>
      </c>
      <c r="E967" s="3">
        <v>28100</v>
      </c>
      <c r="F967" s="3">
        <v>20</v>
      </c>
      <c r="G967" s="7">
        <f t="shared" si="143"/>
        <v>1</v>
      </c>
      <c r="H967" s="5">
        <f t="shared" si="138"/>
        <v>6.7171644990710305E-3</v>
      </c>
      <c r="I967" s="4">
        <f t="shared" si="139"/>
        <v>1.6056287209092548E-2</v>
      </c>
      <c r="J967" s="4">
        <f t="shared" si="140"/>
        <v>3.5561877667140826E-3</v>
      </c>
      <c r="K967" s="4">
        <f t="shared" si="141"/>
        <v>1.3891394551686812E-2</v>
      </c>
      <c r="L967" s="4">
        <f t="shared" si="142"/>
        <v>0</v>
      </c>
      <c r="M967" s="3">
        <f t="shared" si="135"/>
        <v>7</v>
      </c>
      <c r="N967" s="3">
        <f t="shared" si="136"/>
        <v>11</v>
      </c>
      <c r="O967" s="3">
        <f t="shared" si="137"/>
        <v>2</v>
      </c>
    </row>
    <row r="968" spans="1:15" x14ac:dyDescent="0.2">
      <c r="A968" s="2">
        <v>45119</v>
      </c>
      <c r="B968" s="3">
        <v>28687</v>
      </c>
      <c r="C968" s="3">
        <v>28335</v>
      </c>
      <c r="D968" s="3">
        <v>28700</v>
      </c>
      <c r="E968" s="3">
        <v>28320</v>
      </c>
      <c r="F968" s="3">
        <v>30</v>
      </c>
      <c r="G968" s="7">
        <f t="shared" si="143"/>
        <v>1</v>
      </c>
      <c r="H968" s="5">
        <f t="shared" si="138"/>
        <v>1.8136002271436684E-2</v>
      </c>
      <c r="I968" s="4">
        <f t="shared" si="139"/>
        <v>6.214488636363636E-3</v>
      </c>
      <c r="J968" s="4">
        <f t="shared" si="140"/>
        <v>1.7009213323883769E-2</v>
      </c>
      <c r="K968" s="4">
        <f t="shared" si="141"/>
        <v>7.8291814946619218E-3</v>
      </c>
      <c r="L968" s="4">
        <f t="shared" si="142"/>
        <v>0.5</v>
      </c>
      <c r="M968" s="3">
        <f t="shared" si="135"/>
        <v>7</v>
      </c>
      <c r="N968" s="3">
        <f t="shared" si="136"/>
        <v>12</v>
      </c>
      <c r="O968" s="3">
        <f t="shared" si="137"/>
        <v>3</v>
      </c>
    </row>
    <row r="969" spans="1:15" x14ac:dyDescent="0.2">
      <c r="A969" s="2">
        <v>45120</v>
      </c>
      <c r="B969" s="3">
        <v>28877</v>
      </c>
      <c r="C969" s="3">
        <v>28650</v>
      </c>
      <c r="D969" s="3">
        <v>28970</v>
      </c>
      <c r="E969" s="3">
        <v>28650</v>
      </c>
      <c r="F969" s="3">
        <v>50</v>
      </c>
      <c r="G969" s="7">
        <f t="shared" si="143"/>
        <v>1</v>
      </c>
      <c r="H969" s="5">
        <f t="shared" si="138"/>
        <v>6.6232091191131869E-3</v>
      </c>
      <c r="I969" s="4">
        <f t="shared" si="139"/>
        <v>1.1116993118051879E-2</v>
      </c>
      <c r="J969" s="4">
        <f t="shared" si="140"/>
        <v>9.4076655052264813E-3</v>
      </c>
      <c r="K969" s="4">
        <f t="shared" si="141"/>
        <v>1.1652542372881356E-2</v>
      </c>
      <c r="L969" s="4">
        <f t="shared" si="142"/>
        <v>0.66666666666666663</v>
      </c>
      <c r="M969" s="3">
        <f t="shared" si="135"/>
        <v>7</v>
      </c>
      <c r="N969" s="3">
        <f t="shared" si="136"/>
        <v>13</v>
      </c>
      <c r="O969" s="3">
        <f t="shared" si="137"/>
        <v>4</v>
      </c>
    </row>
    <row r="970" spans="1:15" x14ac:dyDescent="0.2">
      <c r="A970" s="2">
        <v>45121</v>
      </c>
      <c r="B970" s="3">
        <v>28802</v>
      </c>
      <c r="C970" s="3">
        <v>28900</v>
      </c>
      <c r="D970" s="3">
        <v>28920</v>
      </c>
      <c r="E970" s="3">
        <v>28705</v>
      </c>
      <c r="F970" s="3">
        <v>70</v>
      </c>
      <c r="G970" s="7">
        <f t="shared" si="143"/>
        <v>0</v>
      </c>
      <c r="H970" s="5">
        <f t="shared" si="138"/>
        <v>-2.5972227031893897E-3</v>
      </c>
      <c r="I970" s="4">
        <f t="shared" si="139"/>
        <v>8.7260034904013961E-3</v>
      </c>
      <c r="J970" s="4">
        <f t="shared" si="140"/>
        <v>-1.7259233690024164E-3</v>
      </c>
      <c r="K970" s="4">
        <f t="shared" si="141"/>
        <v>1.9197207678883072E-3</v>
      </c>
      <c r="L970" s="4">
        <f t="shared" si="142"/>
        <v>0.4</v>
      </c>
      <c r="M970" s="3">
        <f t="shared" si="135"/>
        <v>7</v>
      </c>
      <c r="N970" s="3">
        <f t="shared" si="136"/>
        <v>14</v>
      </c>
      <c r="O970" s="3">
        <f t="shared" si="137"/>
        <v>5</v>
      </c>
    </row>
    <row r="971" spans="1:15" x14ac:dyDescent="0.2">
      <c r="A971" s="2">
        <v>45124</v>
      </c>
      <c r="B971" s="3">
        <v>28742</v>
      </c>
      <c r="C971" s="3">
        <v>28615</v>
      </c>
      <c r="D971" s="3">
        <v>28790</v>
      </c>
      <c r="E971" s="3">
        <v>28615</v>
      </c>
      <c r="F971" s="3">
        <v>10</v>
      </c>
      <c r="G971" s="7">
        <f t="shared" si="143"/>
        <v>0</v>
      </c>
      <c r="H971" s="5">
        <f t="shared" si="138"/>
        <v>-2.0831886674536489E-3</v>
      </c>
      <c r="I971" s="4">
        <f t="shared" si="139"/>
        <v>-9.8615916955017303E-3</v>
      </c>
      <c r="J971" s="4">
        <f t="shared" si="140"/>
        <v>-4.4951590594744118E-3</v>
      </c>
      <c r="K971" s="4">
        <f t="shared" si="141"/>
        <v>-3.1353422748650059E-3</v>
      </c>
      <c r="L971" s="4">
        <f t="shared" si="142"/>
        <v>-0.8571428571428571</v>
      </c>
      <c r="M971" s="3">
        <f t="shared" si="135"/>
        <v>7</v>
      </c>
      <c r="N971" s="3">
        <f t="shared" si="136"/>
        <v>17</v>
      </c>
      <c r="O971" s="3">
        <f t="shared" si="137"/>
        <v>1</v>
      </c>
    </row>
    <row r="972" spans="1:15" x14ac:dyDescent="0.2">
      <c r="A972" s="2">
        <v>45125</v>
      </c>
      <c r="B972" s="3">
        <v>28834</v>
      </c>
      <c r="C972" s="3">
        <v>28730</v>
      </c>
      <c r="D972" s="3">
        <v>28740</v>
      </c>
      <c r="E972" s="3">
        <v>28700</v>
      </c>
      <c r="F972" s="3">
        <v>20</v>
      </c>
      <c r="G972" s="7">
        <f t="shared" si="143"/>
        <v>1</v>
      </c>
      <c r="H972" s="5">
        <f t="shared" si="138"/>
        <v>3.2008906826247303E-3</v>
      </c>
      <c r="I972" s="4">
        <f t="shared" si="139"/>
        <v>4.0188712213873844E-3</v>
      </c>
      <c r="J972" s="4">
        <f t="shared" si="140"/>
        <v>-1.7367141368530739E-3</v>
      </c>
      <c r="K972" s="4">
        <f t="shared" si="141"/>
        <v>2.970470033199371E-3</v>
      </c>
      <c r="L972" s="4">
        <f t="shared" si="142"/>
        <v>1</v>
      </c>
      <c r="M972" s="3">
        <f t="shared" si="135"/>
        <v>7</v>
      </c>
      <c r="N972" s="3">
        <f t="shared" si="136"/>
        <v>18</v>
      </c>
      <c r="O972" s="3">
        <f t="shared" si="137"/>
        <v>2</v>
      </c>
    </row>
    <row r="973" spans="1:15" x14ac:dyDescent="0.2">
      <c r="A973" s="2">
        <v>45126</v>
      </c>
      <c r="B973" s="3">
        <v>28832</v>
      </c>
      <c r="C973" s="3">
        <v>28960</v>
      </c>
      <c r="D973" s="3">
        <v>28985</v>
      </c>
      <c r="E973" s="3">
        <v>28780</v>
      </c>
      <c r="F973" s="3">
        <v>10</v>
      </c>
      <c r="G973" s="7">
        <f t="shared" si="143"/>
        <v>0</v>
      </c>
      <c r="H973" s="5">
        <f t="shared" si="138"/>
        <v>-6.9362558091142396E-5</v>
      </c>
      <c r="I973" s="4">
        <f t="shared" si="139"/>
        <v>8.005569091541943E-3</v>
      </c>
      <c r="J973" s="4">
        <f t="shared" si="140"/>
        <v>8.5247042449547675E-3</v>
      </c>
      <c r="K973" s="4">
        <f t="shared" si="141"/>
        <v>2.7874564459930314E-3</v>
      </c>
      <c r="L973" s="4">
        <f t="shared" si="142"/>
        <v>-0.5</v>
      </c>
      <c r="M973" s="3">
        <f t="shared" si="135"/>
        <v>7</v>
      </c>
      <c r="N973" s="3">
        <f t="shared" si="136"/>
        <v>19</v>
      </c>
      <c r="O973" s="3">
        <f t="shared" si="137"/>
        <v>3</v>
      </c>
    </row>
    <row r="974" spans="1:15" x14ac:dyDescent="0.2">
      <c r="A974" s="2">
        <v>45127</v>
      </c>
      <c r="B974" s="3">
        <v>28931</v>
      </c>
      <c r="C974" s="3">
        <v>28780</v>
      </c>
      <c r="D974" s="3">
        <v>28960</v>
      </c>
      <c r="E974" s="3">
        <v>28780</v>
      </c>
      <c r="F974" s="3">
        <v>10</v>
      </c>
      <c r="G974" s="7">
        <f t="shared" si="143"/>
        <v>1</v>
      </c>
      <c r="H974" s="5">
        <f t="shared" si="138"/>
        <v>3.4336847946725862E-3</v>
      </c>
      <c r="I974" s="4">
        <f t="shared" si="139"/>
        <v>-6.2154696132596682E-3</v>
      </c>
      <c r="J974" s="4">
        <f t="shared" si="140"/>
        <v>-8.6251509401414521E-4</v>
      </c>
      <c r="K974" s="4">
        <f t="shared" si="141"/>
        <v>0</v>
      </c>
      <c r="L974" s="4">
        <f t="shared" si="142"/>
        <v>0</v>
      </c>
      <c r="M974" s="3">
        <f t="shared" si="135"/>
        <v>7</v>
      </c>
      <c r="N974" s="3">
        <f t="shared" si="136"/>
        <v>20</v>
      </c>
      <c r="O974" s="3">
        <f t="shared" si="137"/>
        <v>4</v>
      </c>
    </row>
    <row r="975" spans="1:15" x14ac:dyDescent="0.2">
      <c r="A975" s="2">
        <v>45128</v>
      </c>
      <c r="B975" s="3">
        <v>28972</v>
      </c>
      <c r="C975" s="3">
        <v>29015</v>
      </c>
      <c r="D975" s="3">
        <v>29015</v>
      </c>
      <c r="E975" s="3">
        <v>28905</v>
      </c>
      <c r="F975" s="3">
        <v>20</v>
      </c>
      <c r="G975" s="7">
        <f t="shared" si="143"/>
        <v>1</v>
      </c>
      <c r="H975" s="5">
        <f t="shared" si="138"/>
        <v>1.4171649787425252E-3</v>
      </c>
      <c r="I975" s="4">
        <f t="shared" si="139"/>
        <v>8.1653926337734543E-3</v>
      </c>
      <c r="J975" s="4">
        <f t="shared" si="140"/>
        <v>1.899171270718232E-3</v>
      </c>
      <c r="K975" s="4">
        <f t="shared" si="141"/>
        <v>4.3432939541348161E-3</v>
      </c>
      <c r="L975" s="4">
        <f t="shared" si="142"/>
        <v>1</v>
      </c>
      <c r="M975" s="3">
        <f t="shared" si="135"/>
        <v>7</v>
      </c>
      <c r="N975" s="3">
        <f t="shared" si="136"/>
        <v>21</v>
      </c>
      <c r="O975" s="3">
        <f t="shared" si="137"/>
        <v>5</v>
      </c>
    </row>
    <row r="976" spans="1:15" x14ac:dyDescent="0.2">
      <c r="A976" s="2">
        <v>45131</v>
      </c>
      <c r="B976" s="3">
        <v>29105</v>
      </c>
      <c r="C976" s="3">
        <v>28860</v>
      </c>
      <c r="D976" s="3">
        <v>29135</v>
      </c>
      <c r="E976" s="3">
        <v>28860</v>
      </c>
      <c r="F976" s="3">
        <v>20</v>
      </c>
      <c r="G976" s="7">
        <f t="shared" si="143"/>
        <v>1</v>
      </c>
      <c r="H976" s="5">
        <f t="shared" si="138"/>
        <v>4.5906392378848547E-3</v>
      </c>
      <c r="I976" s="4">
        <f t="shared" si="139"/>
        <v>-5.3420644494227123E-3</v>
      </c>
      <c r="J976" s="4">
        <f t="shared" si="140"/>
        <v>4.1357918318111319E-3</v>
      </c>
      <c r="K976" s="4">
        <f t="shared" si="141"/>
        <v>-1.5568240788790867E-3</v>
      </c>
      <c r="L976" s="4">
        <f t="shared" si="142"/>
        <v>0</v>
      </c>
      <c r="M976" s="3">
        <f t="shared" si="135"/>
        <v>7</v>
      </c>
      <c r="N976" s="3">
        <f t="shared" si="136"/>
        <v>24</v>
      </c>
      <c r="O976" s="3">
        <f t="shared" si="137"/>
        <v>1</v>
      </c>
    </row>
    <row r="977" spans="1:15" x14ac:dyDescent="0.2">
      <c r="A977" s="2">
        <v>45132</v>
      </c>
      <c r="B977" s="3">
        <v>29154</v>
      </c>
      <c r="C977" s="3">
        <v>29150</v>
      </c>
      <c r="D977" s="3">
        <v>29180</v>
      </c>
      <c r="E977" s="3">
        <v>29055</v>
      </c>
      <c r="F977" s="3">
        <v>20</v>
      </c>
      <c r="G977" s="7">
        <f t="shared" si="143"/>
        <v>1</v>
      </c>
      <c r="H977" s="5">
        <f t="shared" si="138"/>
        <v>1.6835595258546641E-3</v>
      </c>
      <c r="I977" s="4">
        <f t="shared" si="139"/>
        <v>1.0048510048510048E-2</v>
      </c>
      <c r="J977" s="4">
        <f t="shared" si="140"/>
        <v>1.5445340655568904E-3</v>
      </c>
      <c r="K977" s="4">
        <f t="shared" si="141"/>
        <v>6.7567567567567571E-3</v>
      </c>
      <c r="L977" s="4">
        <f t="shared" si="142"/>
        <v>0</v>
      </c>
      <c r="M977" s="3">
        <f t="shared" si="135"/>
        <v>7</v>
      </c>
      <c r="N977" s="3">
        <f t="shared" si="136"/>
        <v>25</v>
      </c>
      <c r="O977" s="3">
        <f t="shared" si="137"/>
        <v>2</v>
      </c>
    </row>
    <row r="978" spans="1:15" x14ac:dyDescent="0.2">
      <c r="A978" s="2">
        <v>45133</v>
      </c>
      <c r="B978" s="3">
        <v>29161</v>
      </c>
      <c r="C978" s="3">
        <v>29280</v>
      </c>
      <c r="D978" s="3">
        <v>29320</v>
      </c>
      <c r="E978" s="3">
        <v>29075</v>
      </c>
      <c r="F978" s="3">
        <v>40</v>
      </c>
      <c r="G978" s="7">
        <f t="shared" si="143"/>
        <v>1</v>
      </c>
      <c r="H978" s="5">
        <f t="shared" si="138"/>
        <v>2.4010427385607463E-4</v>
      </c>
      <c r="I978" s="4">
        <f t="shared" si="139"/>
        <v>4.4596912521440825E-3</v>
      </c>
      <c r="J978" s="4">
        <f t="shared" si="140"/>
        <v>4.7978067169294038E-3</v>
      </c>
      <c r="K978" s="4">
        <f t="shared" si="141"/>
        <v>6.8834968163827229E-4</v>
      </c>
      <c r="L978" s="4">
        <f t="shared" si="142"/>
        <v>1</v>
      </c>
      <c r="M978" s="3">
        <f t="shared" si="135"/>
        <v>7</v>
      </c>
      <c r="N978" s="3">
        <f t="shared" si="136"/>
        <v>26</v>
      </c>
      <c r="O978" s="3">
        <f t="shared" si="137"/>
        <v>3</v>
      </c>
    </row>
    <row r="979" spans="1:15" x14ac:dyDescent="0.2">
      <c r="A979" s="2">
        <v>45134</v>
      </c>
      <c r="B979" s="3">
        <v>29779</v>
      </c>
      <c r="C979" s="3">
        <v>29320</v>
      </c>
      <c r="D979" s="3">
        <v>29830</v>
      </c>
      <c r="E979" s="3">
        <v>29300</v>
      </c>
      <c r="F979" s="3">
        <v>70</v>
      </c>
      <c r="G979" s="7">
        <f t="shared" si="143"/>
        <v>1</v>
      </c>
      <c r="H979" s="5">
        <f t="shared" si="138"/>
        <v>2.1192688865265253E-2</v>
      </c>
      <c r="I979" s="4">
        <f t="shared" si="139"/>
        <v>1.366120218579235E-3</v>
      </c>
      <c r="J979" s="4">
        <f t="shared" si="140"/>
        <v>1.7394270122783082E-2</v>
      </c>
      <c r="K979" s="4">
        <f t="shared" si="141"/>
        <v>7.7386070507308681E-3</v>
      </c>
      <c r="L979" s="4">
        <f t="shared" si="142"/>
        <v>0.75</v>
      </c>
      <c r="M979" s="3">
        <f t="shared" si="135"/>
        <v>7</v>
      </c>
      <c r="N979" s="3">
        <f t="shared" si="136"/>
        <v>27</v>
      </c>
      <c r="O979" s="3">
        <f t="shared" si="137"/>
        <v>4</v>
      </c>
    </row>
    <row r="980" spans="1:15" x14ac:dyDescent="0.2">
      <c r="A980" s="2">
        <v>45135</v>
      </c>
      <c r="B980" s="3">
        <v>29714</v>
      </c>
      <c r="C980" s="3">
        <v>29710</v>
      </c>
      <c r="D980" s="3">
        <v>29760</v>
      </c>
      <c r="E980" s="3">
        <v>29660</v>
      </c>
      <c r="F980" s="3">
        <v>20</v>
      </c>
      <c r="G980" s="7">
        <f t="shared" si="143"/>
        <v>0</v>
      </c>
      <c r="H980" s="5">
        <f t="shared" si="138"/>
        <v>-2.1827462305651635E-3</v>
      </c>
      <c r="I980" s="4">
        <f t="shared" si="139"/>
        <v>1.330150068212824E-2</v>
      </c>
      <c r="J980" s="4">
        <f t="shared" si="140"/>
        <v>-2.3466309084813944E-3</v>
      </c>
      <c r="K980" s="4">
        <f t="shared" si="141"/>
        <v>1.2286689419795221E-2</v>
      </c>
      <c r="L980" s="4">
        <f t="shared" si="142"/>
        <v>-0.7142857142857143</v>
      </c>
      <c r="M980" s="3">
        <f t="shared" si="135"/>
        <v>7</v>
      </c>
      <c r="N980" s="3">
        <f t="shared" si="136"/>
        <v>28</v>
      </c>
      <c r="O980" s="3">
        <f t="shared" si="137"/>
        <v>5</v>
      </c>
    </row>
    <row r="981" spans="1:15" x14ac:dyDescent="0.2">
      <c r="A981" s="2">
        <v>45138</v>
      </c>
      <c r="B981" s="3">
        <v>29837</v>
      </c>
      <c r="C981" s="3">
        <v>29700</v>
      </c>
      <c r="D981" s="3">
        <v>29890</v>
      </c>
      <c r="E981" s="3">
        <v>29700</v>
      </c>
      <c r="F981" s="3">
        <v>20</v>
      </c>
      <c r="G981" s="7">
        <f t="shared" si="143"/>
        <v>1</v>
      </c>
      <c r="H981" s="5">
        <f t="shared" si="138"/>
        <v>4.139462879450764E-3</v>
      </c>
      <c r="I981" s="4">
        <f t="shared" si="139"/>
        <v>-3.3658700774150119E-4</v>
      </c>
      <c r="J981" s="4">
        <f t="shared" si="140"/>
        <v>4.3682795698924727E-3</v>
      </c>
      <c r="K981" s="4">
        <f t="shared" si="141"/>
        <v>1.3486176668914363E-3</v>
      </c>
      <c r="L981" s="4">
        <f t="shared" si="142"/>
        <v>0</v>
      </c>
      <c r="M981" s="3">
        <f t="shared" si="135"/>
        <v>7</v>
      </c>
      <c r="N981" s="3">
        <f t="shared" si="136"/>
        <v>31</v>
      </c>
      <c r="O981" s="3">
        <f t="shared" si="137"/>
        <v>1</v>
      </c>
    </row>
    <row r="982" spans="1:15" x14ac:dyDescent="0.2">
      <c r="A982" s="2">
        <v>45139</v>
      </c>
      <c r="B982" s="3">
        <v>29550</v>
      </c>
      <c r="C982" s="3">
        <v>29910</v>
      </c>
      <c r="D982" s="3">
        <v>29930</v>
      </c>
      <c r="E982" s="3">
        <v>29600</v>
      </c>
      <c r="F982" s="3">
        <v>20</v>
      </c>
      <c r="G982" s="7">
        <f t="shared" si="143"/>
        <v>0</v>
      </c>
      <c r="H982" s="5">
        <f t="shared" si="138"/>
        <v>-9.618929517042598E-3</v>
      </c>
      <c r="I982" s="4">
        <f t="shared" si="139"/>
        <v>7.0707070707070711E-3</v>
      </c>
      <c r="J982" s="4">
        <f t="shared" si="140"/>
        <v>1.3382402141184342E-3</v>
      </c>
      <c r="K982" s="4">
        <f t="shared" si="141"/>
        <v>-3.3670033670033669E-3</v>
      </c>
      <c r="L982" s="4">
        <f t="shared" si="142"/>
        <v>0</v>
      </c>
      <c r="M982" s="3">
        <f t="shared" si="135"/>
        <v>8</v>
      </c>
      <c r="N982" s="3">
        <f t="shared" si="136"/>
        <v>1</v>
      </c>
      <c r="O982" s="3">
        <f t="shared" si="137"/>
        <v>2</v>
      </c>
    </row>
    <row r="983" spans="1:15" x14ac:dyDescent="0.2">
      <c r="A983" s="2">
        <v>45140</v>
      </c>
      <c r="B983" s="3">
        <v>29147</v>
      </c>
      <c r="C983" s="3">
        <v>29265</v>
      </c>
      <c r="D983" s="3">
        <v>29370</v>
      </c>
      <c r="E983" s="3">
        <v>29070</v>
      </c>
      <c r="F983" s="3">
        <v>20</v>
      </c>
      <c r="G983" s="7">
        <f t="shared" si="143"/>
        <v>0</v>
      </c>
      <c r="H983" s="5">
        <f t="shared" si="138"/>
        <v>-1.3637901861252116E-2</v>
      </c>
      <c r="I983" s="4">
        <f t="shared" si="139"/>
        <v>-2.156469408224674E-2</v>
      </c>
      <c r="J983" s="4">
        <f t="shared" si="140"/>
        <v>-1.8710324089542266E-2</v>
      </c>
      <c r="K983" s="4">
        <f t="shared" si="141"/>
        <v>-1.7905405405405406E-2</v>
      </c>
      <c r="L983" s="4">
        <f t="shared" si="142"/>
        <v>0</v>
      </c>
      <c r="M983" s="3">
        <f t="shared" si="135"/>
        <v>8</v>
      </c>
      <c r="N983" s="3">
        <f t="shared" si="136"/>
        <v>2</v>
      </c>
      <c r="O983" s="3">
        <f t="shared" si="137"/>
        <v>3</v>
      </c>
    </row>
    <row r="984" spans="1:15" x14ac:dyDescent="0.2">
      <c r="A984" s="2">
        <v>45141</v>
      </c>
      <c r="B984" s="3">
        <v>28859</v>
      </c>
      <c r="C984" s="3">
        <v>28775</v>
      </c>
      <c r="D984" s="3">
        <v>28945</v>
      </c>
      <c r="E984" s="3">
        <v>28685</v>
      </c>
      <c r="F984" s="3">
        <v>70</v>
      </c>
      <c r="G984" s="7">
        <f t="shared" si="143"/>
        <v>0</v>
      </c>
      <c r="H984" s="5">
        <f t="shared" si="138"/>
        <v>-9.880948296565684E-3</v>
      </c>
      <c r="I984" s="4">
        <f t="shared" si="139"/>
        <v>-1.6743550316077226E-2</v>
      </c>
      <c r="J984" s="4">
        <f t="shared" si="140"/>
        <v>-1.4470548178413346E-2</v>
      </c>
      <c r="K984" s="4">
        <f t="shared" si="141"/>
        <v>-1.3243894048847609E-2</v>
      </c>
      <c r="L984" s="4">
        <f t="shared" si="142"/>
        <v>2.5</v>
      </c>
      <c r="M984" s="3">
        <f t="shared" si="135"/>
        <v>8</v>
      </c>
      <c r="N984" s="3">
        <f t="shared" si="136"/>
        <v>3</v>
      </c>
      <c r="O984" s="3">
        <f t="shared" si="137"/>
        <v>4</v>
      </c>
    </row>
    <row r="985" spans="1:15" x14ac:dyDescent="0.2">
      <c r="A985" s="2">
        <v>45142</v>
      </c>
      <c r="B985" s="3">
        <v>28790</v>
      </c>
      <c r="C985" s="3">
        <v>29000</v>
      </c>
      <c r="D985" s="3">
        <v>29000</v>
      </c>
      <c r="E985" s="3">
        <v>28595</v>
      </c>
      <c r="F985" s="3">
        <v>90</v>
      </c>
      <c r="G985" s="7">
        <f t="shared" si="143"/>
        <v>0</v>
      </c>
      <c r="H985" s="5">
        <f t="shared" si="138"/>
        <v>-2.3909352368411932E-3</v>
      </c>
      <c r="I985" s="4">
        <f t="shared" si="139"/>
        <v>7.819287576020852E-3</v>
      </c>
      <c r="J985" s="4">
        <f t="shared" si="140"/>
        <v>1.9001554672655036E-3</v>
      </c>
      <c r="K985" s="4">
        <f t="shared" si="141"/>
        <v>-3.1375283249084887E-3</v>
      </c>
      <c r="L985" s="4">
        <f t="shared" si="142"/>
        <v>0.2857142857142857</v>
      </c>
      <c r="M985" s="3">
        <f t="shared" si="135"/>
        <v>8</v>
      </c>
      <c r="N985" s="3">
        <f t="shared" si="136"/>
        <v>4</v>
      </c>
      <c r="O985" s="3">
        <f t="shared" si="137"/>
        <v>5</v>
      </c>
    </row>
    <row r="986" spans="1:15" x14ac:dyDescent="0.2">
      <c r="A986" s="2">
        <v>45145</v>
      </c>
      <c r="B986" s="3">
        <v>28710</v>
      </c>
      <c r="C986" s="3">
        <v>28700</v>
      </c>
      <c r="D986" s="3">
        <v>28800</v>
      </c>
      <c r="E986" s="3">
        <v>28510</v>
      </c>
      <c r="F986" s="3">
        <v>60</v>
      </c>
      <c r="G986" s="7">
        <f t="shared" si="143"/>
        <v>0</v>
      </c>
      <c r="H986" s="5">
        <f t="shared" si="138"/>
        <v>-2.7787426189649182E-3</v>
      </c>
      <c r="I986" s="4">
        <f t="shared" si="139"/>
        <v>-1.0344827586206896E-2</v>
      </c>
      <c r="J986" s="4">
        <f t="shared" si="140"/>
        <v>-6.8965517241379309E-3</v>
      </c>
      <c r="K986" s="4">
        <f t="shared" si="141"/>
        <v>-2.9725476481902431E-3</v>
      </c>
      <c r="L986" s="4">
        <f t="shared" si="142"/>
        <v>-0.33333333333333331</v>
      </c>
      <c r="M986" s="3">
        <f t="shared" si="135"/>
        <v>8</v>
      </c>
      <c r="N986" s="3">
        <f t="shared" si="136"/>
        <v>7</v>
      </c>
      <c r="O986" s="3">
        <f t="shared" si="137"/>
        <v>1</v>
      </c>
    </row>
    <row r="987" spans="1:15" x14ac:dyDescent="0.2">
      <c r="A987" s="2">
        <v>45146</v>
      </c>
      <c r="B987" s="3">
        <v>28127</v>
      </c>
      <c r="C987" s="3">
        <v>28530</v>
      </c>
      <c r="D987" s="3">
        <v>28530</v>
      </c>
      <c r="E987" s="3">
        <v>27975</v>
      </c>
      <c r="F987" s="3">
        <v>80</v>
      </c>
      <c r="G987" s="7">
        <f t="shared" si="143"/>
        <v>0</v>
      </c>
      <c r="H987" s="5">
        <f t="shared" si="138"/>
        <v>-2.0306513409961684E-2</v>
      </c>
      <c r="I987" s="4">
        <f t="shared" si="139"/>
        <v>-5.9233449477351921E-3</v>
      </c>
      <c r="J987" s="4">
        <f t="shared" si="140"/>
        <v>-9.3749999999999997E-3</v>
      </c>
      <c r="K987" s="4">
        <f t="shared" si="141"/>
        <v>-1.8765345492809539E-2</v>
      </c>
      <c r="L987" s="4">
        <f t="shared" si="142"/>
        <v>0.33333333333333331</v>
      </c>
      <c r="M987" s="3">
        <f t="shared" si="135"/>
        <v>8</v>
      </c>
      <c r="N987" s="3">
        <f t="shared" si="136"/>
        <v>8</v>
      </c>
      <c r="O987" s="3">
        <f t="shared" si="137"/>
        <v>2</v>
      </c>
    </row>
    <row r="988" spans="1:15" x14ac:dyDescent="0.2">
      <c r="A988" s="2">
        <v>45147</v>
      </c>
      <c r="B988" s="3">
        <v>28442</v>
      </c>
      <c r="C988" s="3">
        <v>28405</v>
      </c>
      <c r="D988" s="3">
        <v>28675</v>
      </c>
      <c r="E988" s="3">
        <v>28405</v>
      </c>
      <c r="F988" s="3">
        <v>30</v>
      </c>
      <c r="G988" s="7">
        <f t="shared" si="143"/>
        <v>1</v>
      </c>
      <c r="H988" s="5">
        <f t="shared" si="138"/>
        <v>1.1199203612187578E-2</v>
      </c>
      <c r="I988" s="4">
        <f t="shared" si="139"/>
        <v>-4.3813529617946021E-3</v>
      </c>
      <c r="J988" s="4">
        <f t="shared" si="140"/>
        <v>5.0823694356817387E-3</v>
      </c>
      <c r="K988" s="4">
        <f t="shared" si="141"/>
        <v>1.5370866845397676E-2</v>
      </c>
      <c r="L988" s="4">
        <f t="shared" si="142"/>
        <v>-0.625</v>
      </c>
      <c r="M988" s="3">
        <f t="shared" si="135"/>
        <v>8</v>
      </c>
      <c r="N988" s="3">
        <f t="shared" si="136"/>
        <v>9</v>
      </c>
      <c r="O988" s="3">
        <f t="shared" si="137"/>
        <v>3</v>
      </c>
    </row>
    <row r="989" spans="1:15" x14ac:dyDescent="0.2">
      <c r="A989" s="2">
        <v>45148</v>
      </c>
      <c r="B989" s="3">
        <v>28714</v>
      </c>
      <c r="C989" s="3">
        <v>28600</v>
      </c>
      <c r="D989" s="3">
        <v>28810</v>
      </c>
      <c r="E989" s="3">
        <v>28530</v>
      </c>
      <c r="F989" s="3">
        <v>60</v>
      </c>
      <c r="G989" s="7">
        <f t="shared" si="143"/>
        <v>1</v>
      </c>
      <c r="H989" s="5">
        <f t="shared" si="138"/>
        <v>9.5633218479713109E-3</v>
      </c>
      <c r="I989" s="4">
        <f t="shared" si="139"/>
        <v>6.8649885583524023E-3</v>
      </c>
      <c r="J989" s="4">
        <f t="shared" si="140"/>
        <v>4.7079337401918046E-3</v>
      </c>
      <c r="K989" s="4">
        <f t="shared" si="141"/>
        <v>4.4006336912515405E-3</v>
      </c>
      <c r="L989" s="4">
        <f t="shared" si="142"/>
        <v>1</v>
      </c>
      <c r="M989" s="3">
        <f t="shared" si="135"/>
        <v>8</v>
      </c>
      <c r="N989" s="3">
        <f t="shared" si="136"/>
        <v>10</v>
      </c>
      <c r="O989" s="3">
        <f t="shared" si="137"/>
        <v>4</v>
      </c>
    </row>
    <row r="990" spans="1:15" x14ac:dyDescent="0.2">
      <c r="A990" s="2">
        <v>45149</v>
      </c>
      <c r="B990" s="3">
        <v>28415</v>
      </c>
      <c r="C990" s="3">
        <v>28490</v>
      </c>
      <c r="D990" s="3">
        <v>28505</v>
      </c>
      <c r="E990" s="3">
        <v>28390</v>
      </c>
      <c r="F990" s="3">
        <v>30</v>
      </c>
      <c r="G990" s="7">
        <f t="shared" si="143"/>
        <v>0</v>
      </c>
      <c r="H990" s="5">
        <f t="shared" si="138"/>
        <v>-1.0413038935710803E-2</v>
      </c>
      <c r="I990" s="4">
        <f t="shared" si="139"/>
        <v>-3.8461538461538464E-3</v>
      </c>
      <c r="J990" s="4">
        <f t="shared" si="140"/>
        <v>-1.0586601874349184E-2</v>
      </c>
      <c r="K990" s="4">
        <f t="shared" si="141"/>
        <v>-4.9071153172099546E-3</v>
      </c>
      <c r="L990" s="4">
        <f t="shared" si="142"/>
        <v>-0.5</v>
      </c>
      <c r="M990" s="3">
        <f t="shared" si="135"/>
        <v>8</v>
      </c>
      <c r="N990" s="3">
        <f t="shared" si="136"/>
        <v>11</v>
      </c>
      <c r="O990" s="3">
        <f t="shared" si="137"/>
        <v>5</v>
      </c>
    </row>
    <row r="991" spans="1:15" x14ac:dyDescent="0.2">
      <c r="A991" s="2">
        <v>45152</v>
      </c>
      <c r="B991" s="3">
        <v>28571</v>
      </c>
      <c r="C991" s="3">
        <v>28310</v>
      </c>
      <c r="D991" s="3">
        <v>28615</v>
      </c>
      <c r="E991" s="3">
        <v>28300</v>
      </c>
      <c r="F991" s="3">
        <v>20</v>
      </c>
      <c r="G991" s="7">
        <f t="shared" si="143"/>
        <v>1</v>
      </c>
      <c r="H991" s="5">
        <f t="shared" si="138"/>
        <v>5.490058067921872E-3</v>
      </c>
      <c r="I991" s="4">
        <f t="shared" si="139"/>
        <v>-6.3180063180063176E-3</v>
      </c>
      <c r="J991" s="4">
        <f t="shared" si="140"/>
        <v>3.858972110156113E-3</v>
      </c>
      <c r="K991" s="4">
        <f t="shared" si="141"/>
        <v>-3.1701303275801338E-3</v>
      </c>
      <c r="L991" s="4">
        <f t="shared" si="142"/>
        <v>-0.33333333333333331</v>
      </c>
      <c r="M991" s="3">
        <f t="shared" si="135"/>
        <v>8</v>
      </c>
      <c r="N991" s="3">
        <f t="shared" si="136"/>
        <v>14</v>
      </c>
      <c r="O991" s="3">
        <f t="shared" si="137"/>
        <v>1</v>
      </c>
    </row>
    <row r="992" spans="1:15" x14ac:dyDescent="0.2">
      <c r="A992" s="2">
        <v>45154</v>
      </c>
      <c r="B992" s="3">
        <v>28304</v>
      </c>
      <c r="C992" s="3">
        <v>28250</v>
      </c>
      <c r="D992" s="3">
        <v>28525</v>
      </c>
      <c r="E992" s="3">
        <v>28155</v>
      </c>
      <c r="F992" s="3">
        <v>110</v>
      </c>
      <c r="G992" s="7">
        <f t="shared" si="143"/>
        <v>0</v>
      </c>
      <c r="H992" s="5">
        <f t="shared" si="138"/>
        <v>-9.3451401771026572E-3</v>
      </c>
      <c r="I992" s="4">
        <f t="shared" si="139"/>
        <v>-2.1193924408336277E-3</v>
      </c>
      <c r="J992" s="4">
        <f t="shared" si="140"/>
        <v>-3.1452035645640397E-3</v>
      </c>
      <c r="K992" s="4">
        <f t="shared" si="141"/>
        <v>-5.1236749116607772E-3</v>
      </c>
      <c r="L992" s="4">
        <f t="shared" si="142"/>
        <v>4.5</v>
      </c>
      <c r="M992" s="3">
        <f t="shared" si="135"/>
        <v>8</v>
      </c>
      <c r="N992" s="3">
        <f t="shared" si="136"/>
        <v>16</v>
      </c>
      <c r="O992" s="3">
        <f t="shared" si="137"/>
        <v>3</v>
      </c>
    </row>
    <row r="993" spans="1:15" x14ac:dyDescent="0.2">
      <c r="A993" s="2">
        <v>45155</v>
      </c>
      <c r="B993" s="3">
        <v>27990</v>
      </c>
      <c r="C993" s="3">
        <v>28170</v>
      </c>
      <c r="D993" s="3">
        <v>28275</v>
      </c>
      <c r="E993" s="3">
        <v>27880</v>
      </c>
      <c r="F993" s="3">
        <v>90</v>
      </c>
      <c r="G993" s="7">
        <f t="shared" si="143"/>
        <v>0</v>
      </c>
      <c r="H993" s="5">
        <f t="shared" si="138"/>
        <v>-1.109383832673827E-2</v>
      </c>
      <c r="I993" s="4">
        <f t="shared" si="139"/>
        <v>-2.8318584070796461E-3</v>
      </c>
      <c r="J993" s="4">
        <f t="shared" si="140"/>
        <v>-8.7642418930762491E-3</v>
      </c>
      <c r="K993" s="4">
        <f t="shared" si="141"/>
        <v>-9.7673592612324625E-3</v>
      </c>
      <c r="L993" s="4">
        <f t="shared" si="142"/>
        <v>-0.18181818181818182</v>
      </c>
      <c r="M993" s="3">
        <f t="shared" si="135"/>
        <v>8</v>
      </c>
      <c r="N993" s="3">
        <f t="shared" si="136"/>
        <v>17</v>
      </c>
      <c r="O993" s="3">
        <f t="shared" si="137"/>
        <v>4</v>
      </c>
    </row>
    <row r="994" spans="1:15" x14ac:dyDescent="0.2">
      <c r="A994" s="2">
        <v>45156</v>
      </c>
      <c r="B994" s="3">
        <v>27876</v>
      </c>
      <c r="C994" s="3">
        <v>27900</v>
      </c>
      <c r="D994" s="3">
        <v>27910</v>
      </c>
      <c r="E994" s="3">
        <v>27700</v>
      </c>
      <c r="F994" s="3">
        <v>330</v>
      </c>
      <c r="G994" s="7">
        <f t="shared" si="143"/>
        <v>0</v>
      </c>
      <c r="H994" s="5">
        <f t="shared" si="138"/>
        <v>-4.0728831725616293E-3</v>
      </c>
      <c r="I994" s="4">
        <f t="shared" si="139"/>
        <v>-9.5846645367412137E-3</v>
      </c>
      <c r="J994" s="4">
        <f t="shared" si="140"/>
        <v>-1.290893015030946E-2</v>
      </c>
      <c r="K994" s="4">
        <f t="shared" si="141"/>
        <v>-6.4562410329985654E-3</v>
      </c>
      <c r="L994" s="4">
        <f t="shared" si="142"/>
        <v>2.6666666666666665</v>
      </c>
      <c r="M994" s="3">
        <f t="shared" si="135"/>
        <v>8</v>
      </c>
      <c r="N994" s="3">
        <f t="shared" si="136"/>
        <v>18</v>
      </c>
      <c r="O994" s="3">
        <f t="shared" si="137"/>
        <v>5</v>
      </c>
    </row>
    <row r="995" spans="1:15" x14ac:dyDescent="0.2">
      <c r="A995" s="2">
        <v>45159</v>
      </c>
      <c r="B995" s="3">
        <v>28107</v>
      </c>
      <c r="C995" s="3">
        <v>27950</v>
      </c>
      <c r="D995" s="3">
        <v>28315</v>
      </c>
      <c r="E995" s="3">
        <v>27950</v>
      </c>
      <c r="F995" s="3">
        <v>100</v>
      </c>
      <c r="G995" s="7">
        <f t="shared" si="143"/>
        <v>1</v>
      </c>
      <c r="H995" s="5">
        <f t="shared" si="138"/>
        <v>8.2866982350408951E-3</v>
      </c>
      <c r="I995" s="4">
        <f t="shared" si="139"/>
        <v>1.7921146953405018E-3</v>
      </c>
      <c r="J995" s="4">
        <f t="shared" si="140"/>
        <v>1.4510927982801862E-2</v>
      </c>
      <c r="K995" s="4">
        <f t="shared" si="141"/>
        <v>9.0252707581227436E-3</v>
      </c>
      <c r="L995" s="4">
        <f t="shared" si="142"/>
        <v>-0.69696969696969702</v>
      </c>
      <c r="M995" s="3">
        <f t="shared" si="135"/>
        <v>8</v>
      </c>
      <c r="N995" s="3">
        <f t="shared" si="136"/>
        <v>21</v>
      </c>
      <c r="O995" s="3">
        <f t="shared" si="137"/>
        <v>1</v>
      </c>
    </row>
    <row r="996" spans="1:15" x14ac:dyDescent="0.2">
      <c r="A996" s="2">
        <v>45160</v>
      </c>
      <c r="B996" s="3">
        <v>28268</v>
      </c>
      <c r="C996" s="3">
        <v>28245</v>
      </c>
      <c r="D996" s="3">
        <v>28415</v>
      </c>
      <c r="E996" s="3">
        <v>28195</v>
      </c>
      <c r="F996" s="3">
        <v>170</v>
      </c>
      <c r="G996" s="7">
        <f t="shared" si="143"/>
        <v>1</v>
      </c>
      <c r="H996" s="5">
        <f t="shared" si="138"/>
        <v>5.7281104351229227E-3</v>
      </c>
      <c r="I996" s="4">
        <f t="shared" si="139"/>
        <v>1.0554561717352416E-2</v>
      </c>
      <c r="J996" s="4">
        <f t="shared" si="140"/>
        <v>3.5316969803990818E-3</v>
      </c>
      <c r="K996" s="4">
        <f t="shared" si="141"/>
        <v>8.7656529516994628E-3</v>
      </c>
      <c r="L996" s="4">
        <f t="shared" si="142"/>
        <v>0.7</v>
      </c>
      <c r="M996" s="3">
        <f t="shared" si="135"/>
        <v>8</v>
      </c>
      <c r="N996" s="3">
        <f t="shared" si="136"/>
        <v>22</v>
      </c>
      <c r="O996" s="3">
        <f t="shared" si="137"/>
        <v>2</v>
      </c>
    </row>
    <row r="997" spans="1:15" x14ac:dyDescent="0.2">
      <c r="A997" s="2">
        <v>45161</v>
      </c>
      <c r="B997" s="3">
        <v>28354</v>
      </c>
      <c r="C997" s="3">
        <v>28450</v>
      </c>
      <c r="D997" s="3">
        <v>28470</v>
      </c>
      <c r="E997" s="3">
        <v>28250</v>
      </c>
      <c r="F997" s="3">
        <v>80</v>
      </c>
      <c r="G997" s="7">
        <f t="shared" si="143"/>
        <v>1</v>
      </c>
      <c r="H997" s="5">
        <f t="shared" si="138"/>
        <v>3.0423093250318382E-3</v>
      </c>
      <c r="I997" s="4">
        <f t="shared" si="139"/>
        <v>7.25792175606302E-3</v>
      </c>
      <c r="J997" s="4">
        <f t="shared" si="140"/>
        <v>1.9355973957416858E-3</v>
      </c>
      <c r="K997" s="4">
        <f t="shared" si="141"/>
        <v>1.9507004788082993E-3</v>
      </c>
      <c r="L997" s="4">
        <f t="shared" si="142"/>
        <v>-0.52941176470588236</v>
      </c>
      <c r="M997" s="3">
        <f t="shared" si="135"/>
        <v>8</v>
      </c>
      <c r="N997" s="3">
        <f t="shared" si="136"/>
        <v>23</v>
      </c>
      <c r="O997" s="3">
        <f t="shared" si="137"/>
        <v>3</v>
      </c>
    </row>
    <row r="998" spans="1:15" x14ac:dyDescent="0.2">
      <c r="A998" s="2">
        <v>45162</v>
      </c>
      <c r="B998" s="3">
        <v>28174</v>
      </c>
      <c r="C998" s="3">
        <v>28535</v>
      </c>
      <c r="D998" s="3">
        <v>28610</v>
      </c>
      <c r="E998" s="3">
        <v>28115</v>
      </c>
      <c r="F998" s="3">
        <v>170</v>
      </c>
      <c r="G998" s="7">
        <f t="shared" si="143"/>
        <v>0</v>
      </c>
      <c r="H998" s="5">
        <f t="shared" si="138"/>
        <v>-6.3483106440008468E-3</v>
      </c>
      <c r="I998" s="4">
        <f t="shared" si="139"/>
        <v>2.9876977152899823E-3</v>
      </c>
      <c r="J998" s="4">
        <f t="shared" si="140"/>
        <v>4.9174569722514926E-3</v>
      </c>
      <c r="K998" s="4">
        <f t="shared" si="141"/>
        <v>-4.7787610619469028E-3</v>
      </c>
      <c r="L998" s="4">
        <f t="shared" si="142"/>
        <v>1.125</v>
      </c>
      <c r="M998" s="3">
        <f t="shared" si="135"/>
        <v>8</v>
      </c>
      <c r="N998" s="3">
        <f t="shared" si="136"/>
        <v>24</v>
      </c>
      <c r="O998" s="3">
        <f t="shared" si="137"/>
        <v>4</v>
      </c>
    </row>
    <row r="999" spans="1:15" x14ac:dyDescent="0.2">
      <c r="A999" s="2">
        <v>45163</v>
      </c>
      <c r="B999" s="3">
        <v>28306</v>
      </c>
      <c r="C999" s="3">
        <v>28185</v>
      </c>
      <c r="D999" s="3">
        <v>28495</v>
      </c>
      <c r="E999" s="3">
        <v>28115</v>
      </c>
      <c r="F999" s="3">
        <v>150</v>
      </c>
      <c r="G999" s="7">
        <f t="shared" si="143"/>
        <v>1</v>
      </c>
      <c r="H999" s="5">
        <f t="shared" si="138"/>
        <v>4.6851707247817136E-3</v>
      </c>
      <c r="I999" s="4">
        <f t="shared" si="139"/>
        <v>-1.2265638689328895E-2</v>
      </c>
      <c r="J999" s="4">
        <f t="shared" si="140"/>
        <v>-4.0195735756728412E-3</v>
      </c>
      <c r="K999" s="4">
        <f t="shared" si="141"/>
        <v>0</v>
      </c>
      <c r="L999" s="4">
        <f t="shared" si="142"/>
        <v>-0.11764705882352941</v>
      </c>
      <c r="M999" s="3">
        <f t="shared" si="135"/>
        <v>8</v>
      </c>
      <c r="N999" s="3">
        <f t="shared" si="136"/>
        <v>25</v>
      </c>
      <c r="O999" s="3">
        <f t="shared" si="137"/>
        <v>5</v>
      </c>
    </row>
    <row r="1000" spans="1:15" x14ac:dyDescent="0.2">
      <c r="A1000" s="2">
        <v>45166</v>
      </c>
      <c r="B1000" s="3">
        <v>28649</v>
      </c>
      <c r="C1000" s="3">
        <v>28530</v>
      </c>
      <c r="D1000" s="3">
        <v>28720</v>
      </c>
      <c r="E1000" s="3">
        <v>28500</v>
      </c>
      <c r="F1000" s="3">
        <v>20</v>
      </c>
      <c r="G1000" s="7">
        <f t="shared" si="143"/>
        <v>1</v>
      </c>
      <c r="H1000" s="5">
        <f t="shared" si="138"/>
        <v>1.2117572246166891E-2</v>
      </c>
      <c r="I1000" s="4">
        <f t="shared" si="139"/>
        <v>1.2240553485896753E-2</v>
      </c>
      <c r="J1000" s="4">
        <f t="shared" si="140"/>
        <v>7.8961221266888922E-3</v>
      </c>
      <c r="K1000" s="4">
        <f t="shared" si="141"/>
        <v>1.3693757780544193E-2</v>
      </c>
      <c r="L1000" s="4">
        <f t="shared" si="142"/>
        <v>-0.8666666666666667</v>
      </c>
      <c r="M1000" s="3">
        <f t="shared" si="135"/>
        <v>8</v>
      </c>
      <c r="N1000" s="3">
        <f t="shared" si="136"/>
        <v>28</v>
      </c>
      <c r="O1000" s="3">
        <f t="shared" si="137"/>
        <v>1</v>
      </c>
    </row>
    <row r="1001" spans="1:15" x14ac:dyDescent="0.2">
      <c r="A1001" s="2">
        <v>45167</v>
      </c>
      <c r="B1001" s="3">
        <v>28977</v>
      </c>
      <c r="C1001" s="3">
        <v>28810</v>
      </c>
      <c r="D1001" s="3">
        <v>29060</v>
      </c>
      <c r="E1001" s="3">
        <v>28775</v>
      </c>
      <c r="F1001" s="3">
        <v>60</v>
      </c>
      <c r="G1001" s="7">
        <f t="shared" si="143"/>
        <v>1</v>
      </c>
      <c r="H1001" s="5">
        <f t="shared" si="138"/>
        <v>1.1448916192537262E-2</v>
      </c>
      <c r="I1001" s="4">
        <f t="shared" si="139"/>
        <v>9.8142306344199091E-3</v>
      </c>
      <c r="J1001" s="4">
        <f t="shared" si="140"/>
        <v>1.1838440111420613E-2</v>
      </c>
      <c r="K1001" s="4">
        <f t="shared" si="141"/>
        <v>9.6491228070175444E-3</v>
      </c>
      <c r="L1001" s="4">
        <f t="shared" si="142"/>
        <v>2</v>
      </c>
      <c r="M1001" s="3">
        <f t="shared" si="135"/>
        <v>8</v>
      </c>
      <c r="N1001" s="3">
        <f t="shared" si="136"/>
        <v>29</v>
      </c>
      <c r="O1001" s="3">
        <f t="shared" si="137"/>
        <v>2</v>
      </c>
    </row>
    <row r="1002" spans="1:15" x14ac:dyDescent="0.2">
      <c r="A1002" s="2">
        <v>45168</v>
      </c>
      <c r="B1002" s="3">
        <v>29018</v>
      </c>
      <c r="C1002" s="3">
        <v>29070</v>
      </c>
      <c r="D1002" s="3">
        <v>29185</v>
      </c>
      <c r="E1002" s="3">
        <v>28960</v>
      </c>
      <c r="F1002" s="3">
        <v>30</v>
      </c>
      <c r="G1002" s="7">
        <f t="shared" si="143"/>
        <v>1</v>
      </c>
      <c r="H1002" s="5">
        <f t="shared" si="138"/>
        <v>1.4149152776339856E-3</v>
      </c>
      <c r="I1002" s="4">
        <f t="shared" si="139"/>
        <v>9.0246442207566821E-3</v>
      </c>
      <c r="J1002" s="4">
        <f t="shared" si="140"/>
        <v>4.3014452856159667E-3</v>
      </c>
      <c r="K1002" s="4">
        <f t="shared" si="141"/>
        <v>6.4291920069504778E-3</v>
      </c>
      <c r="L1002" s="4">
        <f t="shared" si="142"/>
        <v>-0.5</v>
      </c>
      <c r="M1002" s="3">
        <f t="shared" si="135"/>
        <v>8</v>
      </c>
      <c r="N1002" s="3">
        <f t="shared" si="136"/>
        <v>30</v>
      </c>
      <c r="O1002" s="3">
        <f t="shared" si="137"/>
        <v>3</v>
      </c>
    </row>
    <row r="1003" spans="1:15" x14ac:dyDescent="0.2">
      <c r="A1003" s="2">
        <v>45169</v>
      </c>
      <c r="B1003" s="3">
        <v>28914</v>
      </c>
      <c r="C1003" s="3">
        <v>29075</v>
      </c>
      <c r="D1003" s="3">
        <v>29095</v>
      </c>
      <c r="E1003" s="3">
        <v>28855</v>
      </c>
      <c r="F1003" s="3">
        <v>40</v>
      </c>
      <c r="G1003" s="7">
        <f t="shared" si="143"/>
        <v>0</v>
      </c>
      <c r="H1003" s="5">
        <f t="shared" si="138"/>
        <v>-3.5839823557791716E-3</v>
      </c>
      <c r="I1003" s="4">
        <f t="shared" si="139"/>
        <v>1.7199862401100791E-4</v>
      </c>
      <c r="J1003" s="4">
        <f t="shared" si="140"/>
        <v>-3.0837759122837073E-3</v>
      </c>
      <c r="K1003" s="4">
        <f t="shared" si="141"/>
        <v>-3.6256906077348065E-3</v>
      </c>
      <c r="L1003" s="4">
        <f t="shared" si="142"/>
        <v>0.33333333333333331</v>
      </c>
      <c r="M1003" s="3">
        <f t="shared" si="135"/>
        <v>8</v>
      </c>
      <c r="N1003" s="3">
        <f t="shared" si="136"/>
        <v>31</v>
      </c>
      <c r="O1003" s="3">
        <f t="shared" si="137"/>
        <v>4</v>
      </c>
    </row>
    <row r="1004" spans="1:15" x14ac:dyDescent="0.2">
      <c r="A1004" s="2">
        <v>45170</v>
      </c>
      <c r="B1004" s="3">
        <v>28727</v>
      </c>
      <c r="C1004" s="3">
        <v>28980</v>
      </c>
      <c r="D1004" s="3">
        <v>28990</v>
      </c>
      <c r="E1004" s="3">
        <v>28705</v>
      </c>
      <c r="F1004" s="3">
        <v>50</v>
      </c>
      <c r="G1004" s="7">
        <f t="shared" si="143"/>
        <v>0</v>
      </c>
      <c r="H1004" s="5">
        <f t="shared" si="138"/>
        <v>-6.4674552120080235E-3</v>
      </c>
      <c r="I1004" s="4">
        <f t="shared" si="139"/>
        <v>-3.2674118658641443E-3</v>
      </c>
      <c r="J1004" s="4">
        <f t="shared" si="140"/>
        <v>-3.6088675030073896E-3</v>
      </c>
      <c r="K1004" s="4">
        <f t="shared" si="141"/>
        <v>-5.198405822214521E-3</v>
      </c>
      <c r="L1004" s="4">
        <f t="shared" si="142"/>
        <v>0.25</v>
      </c>
      <c r="M1004" s="3">
        <f t="shared" si="135"/>
        <v>9</v>
      </c>
      <c r="N1004" s="3">
        <f t="shared" si="136"/>
        <v>1</v>
      </c>
      <c r="O1004" s="3">
        <f t="shared" si="137"/>
        <v>5</v>
      </c>
    </row>
    <row r="1005" spans="1:15" x14ac:dyDescent="0.2">
      <c r="A1005" s="2">
        <v>45173</v>
      </c>
      <c r="B1005" s="3">
        <v>28727</v>
      </c>
      <c r="C1005" s="3">
        <v>28890</v>
      </c>
      <c r="D1005" s="3">
        <v>28965</v>
      </c>
      <c r="E1005" s="3">
        <v>28690</v>
      </c>
      <c r="F1005" s="3">
        <v>40</v>
      </c>
      <c r="G1005" s="7">
        <f t="shared" si="143"/>
        <v>1</v>
      </c>
      <c r="H1005" s="5">
        <f t="shared" si="138"/>
        <v>0</v>
      </c>
      <c r="I1005" s="4">
        <f t="shared" si="139"/>
        <v>-3.105590062111801E-3</v>
      </c>
      <c r="J1005" s="4">
        <f t="shared" si="140"/>
        <v>-8.6236633321835118E-4</v>
      </c>
      <c r="K1005" s="4">
        <f t="shared" si="141"/>
        <v>-5.2255704581083439E-4</v>
      </c>
      <c r="L1005" s="4">
        <f t="shared" si="142"/>
        <v>-0.2</v>
      </c>
      <c r="M1005" s="3">
        <f t="shared" si="135"/>
        <v>9</v>
      </c>
      <c r="N1005" s="3">
        <f t="shared" si="136"/>
        <v>4</v>
      </c>
      <c r="O1005" s="3">
        <f t="shared" si="137"/>
        <v>1</v>
      </c>
    </row>
    <row r="1006" spans="1:15" x14ac:dyDescent="0.2">
      <c r="A1006" s="2">
        <v>45174</v>
      </c>
      <c r="B1006" s="3">
        <v>28708</v>
      </c>
      <c r="C1006" s="3">
        <v>28635</v>
      </c>
      <c r="D1006" s="3">
        <v>28770</v>
      </c>
      <c r="E1006" s="3">
        <v>28530</v>
      </c>
      <c r="F1006" s="3">
        <v>100</v>
      </c>
      <c r="G1006" s="7">
        <f t="shared" si="143"/>
        <v>0</v>
      </c>
      <c r="H1006" s="5">
        <f t="shared" si="138"/>
        <v>-6.6139868416472303E-4</v>
      </c>
      <c r="I1006" s="4">
        <f t="shared" si="139"/>
        <v>-8.8265835929387335E-3</v>
      </c>
      <c r="J1006" s="4">
        <f t="shared" si="140"/>
        <v>-6.7322630761263592E-3</v>
      </c>
      <c r="K1006" s="4">
        <f t="shared" si="141"/>
        <v>-5.5768560474032764E-3</v>
      </c>
      <c r="L1006" s="4">
        <f t="shared" si="142"/>
        <v>1.5</v>
      </c>
      <c r="M1006" s="3">
        <f t="shared" si="135"/>
        <v>9</v>
      </c>
      <c r="N1006" s="3">
        <f t="shared" si="136"/>
        <v>5</v>
      </c>
      <c r="O1006" s="3">
        <f t="shared" si="137"/>
        <v>2</v>
      </c>
    </row>
    <row r="1007" spans="1:15" x14ac:dyDescent="0.2">
      <c r="A1007" s="2">
        <v>45175</v>
      </c>
      <c r="B1007" s="3">
        <v>28300</v>
      </c>
      <c r="C1007" s="3">
        <v>28675</v>
      </c>
      <c r="D1007" s="3">
        <v>28700</v>
      </c>
      <c r="E1007" s="3">
        <v>28200</v>
      </c>
      <c r="F1007" s="3">
        <v>1510</v>
      </c>
      <c r="G1007" s="7">
        <f t="shared" si="143"/>
        <v>0</v>
      </c>
      <c r="H1007" s="5">
        <f t="shared" si="138"/>
        <v>-1.4212066322976174E-2</v>
      </c>
      <c r="I1007" s="4">
        <f t="shared" si="139"/>
        <v>1.396891915488039E-3</v>
      </c>
      <c r="J1007" s="4">
        <f t="shared" si="140"/>
        <v>-2.4330900243309003E-3</v>
      </c>
      <c r="K1007" s="4">
        <f t="shared" si="141"/>
        <v>-1.1566771819137749E-2</v>
      </c>
      <c r="L1007" s="4">
        <f t="shared" si="142"/>
        <v>14.1</v>
      </c>
      <c r="M1007" s="3">
        <f t="shared" si="135"/>
        <v>9</v>
      </c>
      <c r="N1007" s="3">
        <f t="shared" si="136"/>
        <v>6</v>
      </c>
      <c r="O1007" s="3">
        <f t="shared" si="137"/>
        <v>3</v>
      </c>
    </row>
    <row r="1008" spans="1:15" x14ac:dyDescent="0.2">
      <c r="A1008" s="2">
        <v>45176</v>
      </c>
      <c r="B1008" s="3">
        <v>28200</v>
      </c>
      <c r="C1008" s="3">
        <v>28230</v>
      </c>
      <c r="D1008" s="3">
        <v>28340</v>
      </c>
      <c r="E1008" s="3">
        <v>28080</v>
      </c>
      <c r="F1008" s="3">
        <v>870</v>
      </c>
      <c r="G1008" s="7">
        <f t="shared" si="143"/>
        <v>0</v>
      </c>
      <c r="H1008" s="5">
        <f t="shared" si="138"/>
        <v>-3.5335689045936395E-3</v>
      </c>
      <c r="I1008" s="4">
        <f t="shared" si="139"/>
        <v>-1.5518744551002616E-2</v>
      </c>
      <c r="J1008" s="4">
        <f t="shared" si="140"/>
        <v>-1.2543554006968641E-2</v>
      </c>
      <c r="K1008" s="4">
        <f t="shared" si="141"/>
        <v>-4.2553191489361703E-3</v>
      </c>
      <c r="L1008" s="4">
        <f t="shared" si="142"/>
        <v>-0.42384105960264901</v>
      </c>
      <c r="M1008" s="3">
        <f t="shared" si="135"/>
        <v>9</v>
      </c>
      <c r="N1008" s="3">
        <f t="shared" si="136"/>
        <v>7</v>
      </c>
      <c r="O1008" s="3">
        <f t="shared" si="137"/>
        <v>4</v>
      </c>
    </row>
    <row r="1009" spans="1:15" x14ac:dyDescent="0.2">
      <c r="A1009" s="2">
        <v>45177</v>
      </c>
      <c r="B1009" s="3">
        <v>28299</v>
      </c>
      <c r="C1009" s="3">
        <v>28270</v>
      </c>
      <c r="D1009" s="3">
        <v>28340</v>
      </c>
      <c r="E1009" s="3">
        <v>27925</v>
      </c>
      <c r="F1009" s="3">
        <v>9430</v>
      </c>
      <c r="G1009" s="7">
        <f t="shared" si="143"/>
        <v>1</v>
      </c>
      <c r="H1009" s="5">
        <f t="shared" si="138"/>
        <v>3.5106382978723405E-3</v>
      </c>
      <c r="I1009" s="4">
        <f t="shared" si="139"/>
        <v>1.4169323414806943E-3</v>
      </c>
      <c r="J1009" s="4">
        <f t="shared" si="140"/>
        <v>0</v>
      </c>
      <c r="K1009" s="4">
        <f t="shared" si="141"/>
        <v>-5.5199430199430197E-3</v>
      </c>
      <c r="L1009" s="4">
        <f t="shared" si="142"/>
        <v>9.8390804597701145</v>
      </c>
      <c r="M1009" s="3">
        <f t="shared" si="135"/>
        <v>9</v>
      </c>
      <c r="N1009" s="3">
        <f t="shared" si="136"/>
        <v>8</v>
      </c>
      <c r="O1009" s="3">
        <f t="shared" si="137"/>
        <v>5</v>
      </c>
    </row>
    <row r="1010" spans="1:15" x14ac:dyDescent="0.2">
      <c r="A1010" s="2">
        <v>45180</v>
      </c>
      <c r="B1010" s="3">
        <v>28590</v>
      </c>
      <c r="C1010" s="3">
        <v>28345</v>
      </c>
      <c r="D1010" s="3">
        <v>28650</v>
      </c>
      <c r="E1010" s="3">
        <v>28345</v>
      </c>
      <c r="F1010" s="3">
        <v>20060</v>
      </c>
      <c r="G1010" s="7">
        <f t="shared" si="143"/>
        <v>1</v>
      </c>
      <c r="H1010" s="5">
        <f t="shared" si="138"/>
        <v>1.0283048870984841E-2</v>
      </c>
      <c r="I1010" s="4">
        <f t="shared" si="139"/>
        <v>2.6529890343119913E-3</v>
      </c>
      <c r="J1010" s="4">
        <f t="shared" si="140"/>
        <v>1.0938602681721948E-2</v>
      </c>
      <c r="K1010" s="4">
        <f t="shared" si="141"/>
        <v>1.5040286481647269E-2</v>
      </c>
      <c r="L1010" s="4">
        <f t="shared" si="142"/>
        <v>1.1272534464475079</v>
      </c>
      <c r="M1010" s="3">
        <f t="shared" si="135"/>
        <v>9</v>
      </c>
      <c r="N1010" s="3">
        <f t="shared" si="136"/>
        <v>11</v>
      </c>
      <c r="O1010" s="3">
        <f t="shared" si="137"/>
        <v>1</v>
      </c>
    </row>
    <row r="1011" spans="1:15" x14ac:dyDescent="0.2">
      <c r="A1011" s="2">
        <v>45181</v>
      </c>
      <c r="B1011" s="3">
        <v>28643</v>
      </c>
      <c r="C1011" s="3">
        <v>28615</v>
      </c>
      <c r="D1011" s="3">
        <v>28715</v>
      </c>
      <c r="E1011" s="3">
        <v>28475</v>
      </c>
      <c r="F1011" s="3">
        <v>41080</v>
      </c>
      <c r="G1011" s="7">
        <f t="shared" si="143"/>
        <v>1</v>
      </c>
      <c r="H1011" s="5">
        <f t="shared" si="138"/>
        <v>1.8537950332284015E-3</v>
      </c>
      <c r="I1011" s="4">
        <f t="shared" si="139"/>
        <v>9.5254895043217491E-3</v>
      </c>
      <c r="J1011" s="4">
        <f t="shared" si="140"/>
        <v>2.2687609075043632E-3</v>
      </c>
      <c r="K1011" s="4">
        <f t="shared" si="141"/>
        <v>4.5863467983771385E-3</v>
      </c>
      <c r="L1011" s="4">
        <f t="shared" si="142"/>
        <v>1.0478564307078764</v>
      </c>
      <c r="M1011" s="3">
        <f t="shared" si="135"/>
        <v>9</v>
      </c>
      <c r="N1011" s="3">
        <f t="shared" si="136"/>
        <v>12</v>
      </c>
      <c r="O1011" s="3">
        <f t="shared" si="137"/>
        <v>2</v>
      </c>
    </row>
    <row r="1012" spans="1:15" x14ac:dyDescent="0.2">
      <c r="A1012" s="2">
        <v>45182</v>
      </c>
      <c r="B1012" s="3">
        <v>28543</v>
      </c>
      <c r="C1012" s="3">
        <v>28520</v>
      </c>
      <c r="D1012" s="3">
        <v>28635</v>
      </c>
      <c r="E1012" s="3">
        <v>28300</v>
      </c>
      <c r="F1012" s="3">
        <v>27850</v>
      </c>
      <c r="G1012" s="7">
        <f t="shared" si="143"/>
        <v>0</v>
      </c>
      <c r="H1012" s="5">
        <f t="shared" si="138"/>
        <v>-3.4912544077086898E-3</v>
      </c>
      <c r="I1012" s="4">
        <f t="shared" si="139"/>
        <v>-3.3199370959287088E-3</v>
      </c>
      <c r="J1012" s="4">
        <f t="shared" si="140"/>
        <v>-2.7860003482500437E-3</v>
      </c>
      <c r="K1012" s="4">
        <f t="shared" si="141"/>
        <v>-6.145741878841089E-3</v>
      </c>
      <c r="L1012" s="4">
        <f t="shared" si="142"/>
        <v>-0.32205452775073029</v>
      </c>
      <c r="M1012" s="3">
        <f t="shared" si="135"/>
        <v>9</v>
      </c>
      <c r="N1012" s="3">
        <f t="shared" si="136"/>
        <v>13</v>
      </c>
      <c r="O1012" s="3">
        <f t="shared" si="137"/>
        <v>3</v>
      </c>
    </row>
    <row r="1013" spans="1:15" x14ac:dyDescent="0.2">
      <c r="A1013" s="2">
        <v>45183</v>
      </c>
      <c r="B1013" s="3">
        <v>28941</v>
      </c>
      <c r="C1013" s="3">
        <v>28575</v>
      </c>
      <c r="D1013" s="3">
        <v>29075</v>
      </c>
      <c r="E1013" s="3">
        <v>28345</v>
      </c>
      <c r="F1013" s="3">
        <v>20650</v>
      </c>
      <c r="G1013" s="7">
        <f t="shared" si="143"/>
        <v>1</v>
      </c>
      <c r="H1013" s="5">
        <f t="shared" si="138"/>
        <v>1.394387415478401E-2</v>
      </c>
      <c r="I1013" s="4">
        <f t="shared" si="139"/>
        <v>1.9284712482468443E-3</v>
      </c>
      <c r="J1013" s="4">
        <f t="shared" si="140"/>
        <v>1.536581107036843E-2</v>
      </c>
      <c r="K1013" s="4">
        <f t="shared" si="141"/>
        <v>1.5901060070671379E-3</v>
      </c>
      <c r="L1013" s="4">
        <f t="shared" si="142"/>
        <v>-0.25852782764811488</v>
      </c>
      <c r="M1013" s="3">
        <f t="shared" si="135"/>
        <v>9</v>
      </c>
      <c r="N1013" s="3">
        <f t="shared" si="136"/>
        <v>14</v>
      </c>
      <c r="O1013" s="3">
        <f t="shared" si="137"/>
        <v>4</v>
      </c>
    </row>
    <row r="1014" spans="1:15" x14ac:dyDescent="0.2">
      <c r="A1014" s="2">
        <v>45184</v>
      </c>
      <c r="B1014" s="3">
        <v>28942</v>
      </c>
      <c r="C1014" s="3">
        <v>29090</v>
      </c>
      <c r="D1014" s="3">
        <v>29185</v>
      </c>
      <c r="E1014" s="3">
        <v>28880</v>
      </c>
      <c r="F1014" s="3">
        <v>20210</v>
      </c>
      <c r="G1014" s="7">
        <f t="shared" si="143"/>
        <v>1</v>
      </c>
      <c r="H1014" s="5">
        <f t="shared" si="138"/>
        <v>3.4553056217822463E-5</v>
      </c>
      <c r="I1014" s="4">
        <f t="shared" si="139"/>
        <v>1.8022747156605425E-2</v>
      </c>
      <c r="J1014" s="4">
        <f t="shared" si="140"/>
        <v>3.7833190025795358E-3</v>
      </c>
      <c r="K1014" s="4">
        <f t="shared" si="141"/>
        <v>1.8874581054859764E-2</v>
      </c>
      <c r="L1014" s="4">
        <f t="shared" si="142"/>
        <v>-2.1307506053268765E-2</v>
      </c>
      <c r="M1014" s="3">
        <f t="shared" si="135"/>
        <v>9</v>
      </c>
      <c r="N1014" s="3">
        <f t="shared" si="136"/>
        <v>15</v>
      </c>
      <c r="O1014" s="3">
        <f t="shared" si="137"/>
        <v>5</v>
      </c>
    </row>
    <row r="1015" spans="1:15" x14ac:dyDescent="0.2">
      <c r="A1015" s="2">
        <v>45187</v>
      </c>
      <c r="B1015" s="3">
        <v>28840</v>
      </c>
      <c r="C1015" s="3">
        <v>29100</v>
      </c>
      <c r="D1015" s="3">
        <v>29140</v>
      </c>
      <c r="E1015" s="3">
        <v>28870</v>
      </c>
      <c r="F1015" s="3">
        <v>10</v>
      </c>
      <c r="G1015" s="7">
        <f t="shared" si="143"/>
        <v>0</v>
      </c>
      <c r="H1015" s="5">
        <f t="shared" si="138"/>
        <v>-3.5242899592288026E-3</v>
      </c>
      <c r="I1015" s="4">
        <f t="shared" si="139"/>
        <v>3.4376074252320387E-4</v>
      </c>
      <c r="J1015" s="4">
        <f t="shared" si="140"/>
        <v>-1.5418879561418537E-3</v>
      </c>
      <c r="K1015" s="4">
        <f t="shared" si="141"/>
        <v>-3.4626038781163435E-4</v>
      </c>
      <c r="L1015" s="4">
        <f t="shared" si="142"/>
        <v>-0.99950519544779814</v>
      </c>
      <c r="M1015" s="3">
        <f t="shared" si="135"/>
        <v>9</v>
      </c>
      <c r="N1015" s="3">
        <f t="shared" si="136"/>
        <v>18</v>
      </c>
      <c r="O1015" s="3">
        <f t="shared" si="137"/>
        <v>1</v>
      </c>
    </row>
    <row r="1016" spans="1:15" x14ac:dyDescent="0.2">
      <c r="A1016" s="2">
        <v>45188</v>
      </c>
      <c r="B1016" s="3">
        <v>29006</v>
      </c>
      <c r="C1016" s="3">
        <v>28715</v>
      </c>
      <c r="D1016" s="3">
        <v>29050</v>
      </c>
      <c r="E1016" s="3">
        <v>28715</v>
      </c>
      <c r="F1016" s="3">
        <v>10</v>
      </c>
      <c r="G1016" s="7">
        <f t="shared" si="143"/>
        <v>1</v>
      </c>
      <c r="H1016" s="5">
        <f t="shared" si="138"/>
        <v>5.7558945908460475E-3</v>
      </c>
      <c r="I1016" s="4">
        <f t="shared" si="139"/>
        <v>-1.3230240549828179E-2</v>
      </c>
      <c r="J1016" s="4">
        <f t="shared" si="140"/>
        <v>-3.0885380919698007E-3</v>
      </c>
      <c r="K1016" s="4">
        <f t="shared" si="141"/>
        <v>-5.3688950467613442E-3</v>
      </c>
      <c r="L1016" s="4">
        <f t="shared" si="142"/>
        <v>0</v>
      </c>
      <c r="M1016" s="3">
        <f t="shared" si="135"/>
        <v>9</v>
      </c>
      <c r="N1016" s="3">
        <f t="shared" si="136"/>
        <v>19</v>
      </c>
      <c r="O1016" s="3">
        <f t="shared" si="137"/>
        <v>2</v>
      </c>
    </row>
    <row r="1017" spans="1:15" x14ac:dyDescent="0.2">
      <c r="A1017" s="2">
        <v>45189</v>
      </c>
      <c r="B1017" s="3">
        <v>29512</v>
      </c>
      <c r="C1017" s="3">
        <v>29070</v>
      </c>
      <c r="D1017" s="3">
        <v>29510</v>
      </c>
      <c r="E1017" s="3">
        <v>29070</v>
      </c>
      <c r="F1017" s="3">
        <v>10</v>
      </c>
      <c r="G1017" s="7">
        <f t="shared" si="143"/>
        <v>1</v>
      </c>
      <c r="H1017" s="5">
        <f t="shared" si="138"/>
        <v>1.7444666620699167E-2</v>
      </c>
      <c r="I1017" s="4">
        <f t="shared" si="139"/>
        <v>1.2362876545359568E-2</v>
      </c>
      <c r="J1017" s="4">
        <f t="shared" si="140"/>
        <v>1.5834767641996556E-2</v>
      </c>
      <c r="K1017" s="4">
        <f t="shared" si="141"/>
        <v>1.2362876545359568E-2</v>
      </c>
      <c r="L1017" s="4">
        <f t="shared" si="142"/>
        <v>0</v>
      </c>
      <c r="M1017" s="3">
        <f t="shared" si="135"/>
        <v>9</v>
      </c>
      <c r="N1017" s="3">
        <f t="shared" si="136"/>
        <v>20</v>
      </c>
      <c r="O1017" s="3">
        <f t="shared" si="137"/>
        <v>3</v>
      </c>
    </row>
    <row r="1018" spans="1:15" x14ac:dyDescent="0.2">
      <c r="A1018" s="2">
        <v>45190</v>
      </c>
      <c r="B1018" s="3">
        <v>28992</v>
      </c>
      <c r="C1018" s="3">
        <v>29315</v>
      </c>
      <c r="D1018" s="3">
        <v>29315</v>
      </c>
      <c r="E1018" s="3">
        <v>28850</v>
      </c>
      <c r="F1018" s="3">
        <v>20</v>
      </c>
      <c r="G1018" s="7">
        <f t="shared" si="143"/>
        <v>0</v>
      </c>
      <c r="H1018" s="5">
        <f t="shared" si="138"/>
        <v>-1.7619951206288967E-2</v>
      </c>
      <c r="I1018" s="4">
        <f t="shared" si="139"/>
        <v>8.4279325765393882E-3</v>
      </c>
      <c r="J1018" s="4">
        <f t="shared" si="140"/>
        <v>-6.6079295154185024E-3</v>
      </c>
      <c r="K1018" s="4">
        <f t="shared" si="141"/>
        <v>-7.5679394564843478E-3</v>
      </c>
      <c r="L1018" s="4">
        <f t="shared" si="142"/>
        <v>1</v>
      </c>
      <c r="M1018" s="3">
        <f t="shared" si="135"/>
        <v>9</v>
      </c>
      <c r="N1018" s="3">
        <f t="shared" si="136"/>
        <v>21</v>
      </c>
      <c r="O1018" s="3">
        <f t="shared" si="137"/>
        <v>4</v>
      </c>
    </row>
    <row r="1019" spans="1:15" x14ac:dyDescent="0.2">
      <c r="A1019" s="2">
        <v>45191</v>
      </c>
      <c r="B1019" s="3">
        <v>28834</v>
      </c>
      <c r="C1019" s="3">
        <v>28910</v>
      </c>
      <c r="D1019" s="3">
        <v>28930</v>
      </c>
      <c r="E1019" s="3">
        <v>28700</v>
      </c>
      <c r="F1019" s="3">
        <v>30</v>
      </c>
      <c r="G1019" s="7">
        <f t="shared" si="143"/>
        <v>0</v>
      </c>
      <c r="H1019" s="5">
        <f t="shared" si="138"/>
        <v>-5.4497792494481237E-3</v>
      </c>
      <c r="I1019" s="4">
        <f t="shared" si="139"/>
        <v>-1.3815452839843085E-2</v>
      </c>
      <c r="J1019" s="4">
        <f t="shared" si="140"/>
        <v>-1.3133208255159476E-2</v>
      </c>
      <c r="K1019" s="4">
        <f t="shared" si="141"/>
        <v>-5.1993067590987872E-3</v>
      </c>
      <c r="L1019" s="4">
        <f t="shared" si="142"/>
        <v>0.5</v>
      </c>
      <c r="M1019" s="3">
        <f t="shared" si="135"/>
        <v>9</v>
      </c>
      <c r="N1019" s="3">
        <f t="shared" si="136"/>
        <v>22</v>
      </c>
      <c r="O1019" s="3">
        <f t="shared" si="137"/>
        <v>5</v>
      </c>
    </row>
    <row r="1020" spans="1:15" x14ac:dyDescent="0.2">
      <c r="A1020" s="2">
        <v>45194</v>
      </c>
      <c r="B1020" s="3">
        <v>28649</v>
      </c>
      <c r="C1020" s="3">
        <v>28800</v>
      </c>
      <c r="D1020" s="3">
        <v>28885</v>
      </c>
      <c r="E1020" s="3">
        <v>28380</v>
      </c>
      <c r="F1020" s="3">
        <v>30</v>
      </c>
      <c r="G1020" s="7">
        <f t="shared" si="143"/>
        <v>0</v>
      </c>
      <c r="H1020" s="5">
        <f t="shared" si="138"/>
        <v>-6.4160366234306725E-3</v>
      </c>
      <c r="I1020" s="4">
        <f t="shared" si="139"/>
        <v>-3.8049117952265654E-3</v>
      </c>
      <c r="J1020" s="4">
        <f t="shared" si="140"/>
        <v>-1.5554787417905289E-3</v>
      </c>
      <c r="K1020" s="4">
        <f t="shared" si="141"/>
        <v>-1.1149825783972125E-2</v>
      </c>
      <c r="L1020" s="4">
        <f t="shared" si="142"/>
        <v>0</v>
      </c>
      <c r="M1020" s="3">
        <f t="shared" si="135"/>
        <v>9</v>
      </c>
      <c r="N1020" s="3">
        <f t="shared" si="136"/>
        <v>25</v>
      </c>
      <c r="O1020" s="3">
        <f t="shared" si="137"/>
        <v>1</v>
      </c>
    </row>
    <row r="1021" spans="1:15" x14ac:dyDescent="0.2">
      <c r="A1021" s="2">
        <v>45195</v>
      </c>
      <c r="B1021" s="3">
        <v>28362</v>
      </c>
      <c r="C1021" s="3">
        <v>28600</v>
      </c>
      <c r="D1021" s="3">
        <v>28605</v>
      </c>
      <c r="E1021" s="3">
        <v>28240</v>
      </c>
      <c r="F1021" s="3">
        <v>40</v>
      </c>
      <c r="G1021" s="7">
        <f t="shared" si="143"/>
        <v>0</v>
      </c>
      <c r="H1021" s="5">
        <f t="shared" si="138"/>
        <v>-1.0017801668470104E-2</v>
      </c>
      <c r="I1021" s="4">
        <f t="shared" si="139"/>
        <v>-6.9444444444444441E-3</v>
      </c>
      <c r="J1021" s="4">
        <f t="shared" si="140"/>
        <v>-9.6936126016963827E-3</v>
      </c>
      <c r="K1021" s="4">
        <f t="shared" si="141"/>
        <v>-4.9330514446793514E-3</v>
      </c>
      <c r="L1021" s="4">
        <f t="shared" si="142"/>
        <v>0.33333333333333331</v>
      </c>
      <c r="M1021" s="3">
        <f t="shared" si="135"/>
        <v>9</v>
      </c>
      <c r="N1021" s="3">
        <f t="shared" si="136"/>
        <v>26</v>
      </c>
      <c r="O1021" s="3">
        <f t="shared" si="137"/>
        <v>2</v>
      </c>
    </row>
    <row r="1022" spans="1:15" x14ac:dyDescent="0.2">
      <c r="A1022" s="2">
        <v>45196</v>
      </c>
      <c r="B1022" s="3">
        <v>28263</v>
      </c>
      <c r="C1022" s="3">
        <v>28370</v>
      </c>
      <c r="D1022" s="3">
        <v>28370</v>
      </c>
      <c r="E1022" s="3">
        <v>28170</v>
      </c>
      <c r="F1022" s="3">
        <v>20</v>
      </c>
      <c r="G1022" s="7">
        <f t="shared" si="143"/>
        <v>0</v>
      </c>
      <c r="H1022" s="5">
        <f t="shared" si="138"/>
        <v>-3.4905859953458852E-3</v>
      </c>
      <c r="I1022" s="4">
        <f t="shared" si="139"/>
        <v>-8.0419580419580413E-3</v>
      </c>
      <c r="J1022" s="4">
        <f t="shared" si="140"/>
        <v>-8.2153469673134066E-3</v>
      </c>
      <c r="K1022" s="4">
        <f t="shared" si="141"/>
        <v>-2.4787535410764872E-3</v>
      </c>
      <c r="L1022" s="4">
        <f t="shared" si="142"/>
        <v>-0.5</v>
      </c>
      <c r="M1022" s="3">
        <f t="shared" si="135"/>
        <v>9</v>
      </c>
      <c r="N1022" s="3">
        <f t="shared" si="136"/>
        <v>27</v>
      </c>
      <c r="O1022" s="3">
        <f t="shared" si="137"/>
        <v>3</v>
      </c>
    </row>
    <row r="1023" spans="1:15" x14ac:dyDescent="0.2">
      <c r="A1023" s="2">
        <v>45197</v>
      </c>
      <c r="B1023" s="3">
        <v>28406</v>
      </c>
      <c r="C1023" s="3">
        <v>28215</v>
      </c>
      <c r="D1023" s="3">
        <v>28465</v>
      </c>
      <c r="E1023" s="3">
        <v>28055</v>
      </c>
      <c r="F1023" s="3">
        <v>30</v>
      </c>
      <c r="G1023" s="7">
        <f t="shared" si="143"/>
        <v>1</v>
      </c>
      <c r="H1023" s="5">
        <f t="shared" si="138"/>
        <v>5.0596185825991583E-3</v>
      </c>
      <c r="I1023" s="4">
        <f t="shared" si="139"/>
        <v>-5.463517800493479E-3</v>
      </c>
      <c r="J1023" s="4">
        <f t="shared" si="140"/>
        <v>3.3486076841734227E-3</v>
      </c>
      <c r="K1023" s="4">
        <f t="shared" si="141"/>
        <v>-4.0823571175008875E-3</v>
      </c>
      <c r="L1023" s="4">
        <f t="shared" si="142"/>
        <v>0.5</v>
      </c>
      <c r="M1023" s="3">
        <f t="shared" si="135"/>
        <v>9</v>
      </c>
      <c r="N1023" s="3">
        <f t="shared" si="136"/>
        <v>28</v>
      </c>
      <c r="O1023" s="3">
        <f t="shared" si="137"/>
        <v>4</v>
      </c>
    </row>
    <row r="1024" spans="1:15" x14ac:dyDescent="0.2">
      <c r="A1024" s="2">
        <v>45198</v>
      </c>
      <c r="B1024" s="3">
        <v>28478</v>
      </c>
      <c r="C1024" s="3">
        <v>28430</v>
      </c>
      <c r="D1024" s="3">
        <v>28720</v>
      </c>
      <c r="E1024" s="3">
        <v>28370</v>
      </c>
      <c r="F1024" s="3">
        <v>20</v>
      </c>
      <c r="G1024" s="7">
        <f t="shared" si="143"/>
        <v>1</v>
      </c>
      <c r="H1024" s="5">
        <f t="shared" si="138"/>
        <v>2.5346757727240724E-3</v>
      </c>
      <c r="I1024" s="4">
        <f t="shared" si="139"/>
        <v>7.6200602516391987E-3</v>
      </c>
      <c r="J1024" s="4">
        <f t="shared" si="140"/>
        <v>8.9583699279817321E-3</v>
      </c>
      <c r="K1024" s="4">
        <f t="shared" si="141"/>
        <v>1.1227945107823918E-2</v>
      </c>
      <c r="L1024" s="4">
        <f t="shared" si="142"/>
        <v>-0.33333333333333331</v>
      </c>
      <c r="M1024" s="3">
        <f t="shared" si="135"/>
        <v>9</v>
      </c>
      <c r="N1024" s="3">
        <f t="shared" si="136"/>
        <v>29</v>
      </c>
      <c r="O1024" s="3">
        <f t="shared" si="137"/>
        <v>5</v>
      </c>
    </row>
    <row r="1025" spans="1:15" x14ac:dyDescent="0.2">
      <c r="A1025" s="2">
        <v>45201</v>
      </c>
      <c r="B1025" s="3">
        <v>28090</v>
      </c>
      <c r="C1025" s="3">
        <v>28555</v>
      </c>
      <c r="D1025" s="3">
        <v>28555</v>
      </c>
      <c r="E1025" s="3">
        <v>27940</v>
      </c>
      <c r="F1025" s="3">
        <v>20</v>
      </c>
      <c r="G1025" s="7">
        <f t="shared" si="143"/>
        <v>0</v>
      </c>
      <c r="H1025" s="5">
        <f t="shared" si="138"/>
        <v>-1.3624552285975139E-2</v>
      </c>
      <c r="I1025" s="4">
        <f t="shared" si="139"/>
        <v>4.3967639817094617E-3</v>
      </c>
      <c r="J1025" s="4">
        <f t="shared" si="140"/>
        <v>-5.745125348189415E-3</v>
      </c>
      <c r="K1025" s="4">
        <f t="shared" si="141"/>
        <v>-1.515685583362707E-2</v>
      </c>
      <c r="L1025" s="4">
        <f t="shared" si="142"/>
        <v>0</v>
      </c>
      <c r="M1025" s="3">
        <f t="shared" si="135"/>
        <v>10</v>
      </c>
      <c r="N1025" s="3">
        <f t="shared" si="136"/>
        <v>2</v>
      </c>
      <c r="O1025" s="3">
        <f t="shared" si="137"/>
        <v>1</v>
      </c>
    </row>
    <row r="1026" spans="1:15" x14ac:dyDescent="0.2">
      <c r="A1026" s="2">
        <v>45202</v>
      </c>
      <c r="B1026" s="3">
        <v>27697</v>
      </c>
      <c r="C1026" s="3">
        <v>27970</v>
      </c>
      <c r="D1026" s="3">
        <v>28155</v>
      </c>
      <c r="E1026" s="3">
        <v>27690</v>
      </c>
      <c r="F1026" s="3">
        <v>50</v>
      </c>
      <c r="G1026" s="7">
        <f t="shared" si="143"/>
        <v>0</v>
      </c>
      <c r="H1026" s="5">
        <f t="shared" si="138"/>
        <v>-1.3990744037023852E-2</v>
      </c>
      <c r="I1026" s="4">
        <f t="shared" si="139"/>
        <v>-2.0486779898441602E-2</v>
      </c>
      <c r="J1026" s="4">
        <f t="shared" si="140"/>
        <v>-1.4008054631413063E-2</v>
      </c>
      <c r="K1026" s="4">
        <f t="shared" si="141"/>
        <v>-8.94774516821761E-3</v>
      </c>
      <c r="L1026" s="4">
        <f t="shared" si="142"/>
        <v>1.5</v>
      </c>
      <c r="M1026" s="3">
        <f t="shared" ref="M1026:M1089" si="144">MONTH(A1026)</f>
        <v>10</v>
      </c>
      <c r="N1026" s="3">
        <f t="shared" ref="N1026:N1089" si="145">DAY(A1026)</f>
        <v>3</v>
      </c>
      <c r="O1026" s="3">
        <f t="shared" ref="O1026:O1089" si="146">WEEKDAY(A1026,2)</f>
        <v>2</v>
      </c>
    </row>
    <row r="1027" spans="1:15" x14ac:dyDescent="0.2">
      <c r="A1027" s="2">
        <v>45203</v>
      </c>
      <c r="B1027" s="3">
        <v>27632</v>
      </c>
      <c r="C1027" s="3">
        <v>27580</v>
      </c>
      <c r="D1027" s="3">
        <v>27715</v>
      </c>
      <c r="E1027" s="3">
        <v>27355</v>
      </c>
      <c r="F1027" s="3">
        <v>80</v>
      </c>
      <c r="G1027" s="7">
        <f t="shared" si="143"/>
        <v>0</v>
      </c>
      <c r="H1027" s="5">
        <f t="shared" ref="H1027:H1090" si="147">(B1027-B1026)/B1026</f>
        <v>-2.3468245658374554E-3</v>
      </c>
      <c r="I1027" s="4">
        <f t="shared" ref="I1027:I1090" si="148">(C1027-C1026)/C1026</f>
        <v>-1.3943510904540579E-2</v>
      </c>
      <c r="J1027" s="4">
        <f t="shared" ref="J1027:J1090" si="149">(D1027-D1026)/D1026</f>
        <v>-1.5627774817971941E-2</v>
      </c>
      <c r="K1027" s="4">
        <f t="shared" ref="K1027:K1090" si="150">(E1027-E1026)/E1026</f>
        <v>-1.2098230408089564E-2</v>
      </c>
      <c r="L1027" s="4">
        <f t="shared" ref="L1027:L1090" si="151">(F1027-F1026)/F1026</f>
        <v>0.6</v>
      </c>
      <c r="M1027" s="3">
        <f t="shared" si="144"/>
        <v>10</v>
      </c>
      <c r="N1027" s="3">
        <f t="shared" si="145"/>
        <v>4</v>
      </c>
      <c r="O1027" s="3">
        <f t="shared" si="146"/>
        <v>3</v>
      </c>
    </row>
    <row r="1028" spans="1:15" x14ac:dyDescent="0.2">
      <c r="A1028" s="2">
        <v>45204</v>
      </c>
      <c r="B1028" s="3">
        <v>27676</v>
      </c>
      <c r="C1028" s="3">
        <v>27680</v>
      </c>
      <c r="D1028" s="3">
        <v>27775</v>
      </c>
      <c r="E1028" s="3">
        <v>27545</v>
      </c>
      <c r="F1028" s="3">
        <v>180</v>
      </c>
      <c r="G1028" s="7">
        <f t="shared" ref="G1028:G1091" si="152">IF(H1028&lt;0, 0, 1)</f>
        <v>1</v>
      </c>
      <c r="H1028" s="5">
        <f t="shared" si="147"/>
        <v>1.5923566878980893E-3</v>
      </c>
      <c r="I1028" s="4">
        <f t="shared" si="148"/>
        <v>3.6258158085569255E-3</v>
      </c>
      <c r="J1028" s="4">
        <f t="shared" si="149"/>
        <v>2.1648926574057369E-3</v>
      </c>
      <c r="K1028" s="4">
        <f t="shared" si="150"/>
        <v>6.945713763480168E-3</v>
      </c>
      <c r="L1028" s="4">
        <f t="shared" si="151"/>
        <v>1.25</v>
      </c>
      <c r="M1028" s="3">
        <f t="shared" si="144"/>
        <v>10</v>
      </c>
      <c r="N1028" s="3">
        <f t="shared" si="145"/>
        <v>5</v>
      </c>
      <c r="O1028" s="3">
        <f t="shared" si="146"/>
        <v>4</v>
      </c>
    </row>
    <row r="1029" spans="1:15" x14ac:dyDescent="0.2">
      <c r="A1029" s="2">
        <v>45205</v>
      </c>
      <c r="B1029" s="3">
        <v>27982</v>
      </c>
      <c r="C1029" s="3">
        <v>27740</v>
      </c>
      <c r="D1029" s="3">
        <v>28180</v>
      </c>
      <c r="E1029" s="3">
        <v>27685</v>
      </c>
      <c r="F1029" s="3">
        <v>60</v>
      </c>
      <c r="G1029" s="7">
        <f t="shared" si="152"/>
        <v>1</v>
      </c>
      <c r="H1029" s="5">
        <f t="shared" si="147"/>
        <v>1.1056511056511056E-2</v>
      </c>
      <c r="I1029" s="4">
        <f t="shared" si="148"/>
        <v>2.167630057803468E-3</v>
      </c>
      <c r="J1029" s="4">
        <f t="shared" si="149"/>
        <v>1.4581458145814581E-2</v>
      </c>
      <c r="K1029" s="4">
        <f t="shared" si="150"/>
        <v>5.0825921219822112E-3</v>
      </c>
      <c r="L1029" s="4">
        <f t="shared" si="151"/>
        <v>-0.66666666666666663</v>
      </c>
      <c r="M1029" s="3">
        <f t="shared" si="144"/>
        <v>10</v>
      </c>
      <c r="N1029" s="3">
        <f t="shared" si="145"/>
        <v>6</v>
      </c>
      <c r="O1029" s="3">
        <f t="shared" si="146"/>
        <v>5</v>
      </c>
    </row>
    <row r="1030" spans="1:15" x14ac:dyDescent="0.2">
      <c r="A1030" s="2">
        <v>45208</v>
      </c>
      <c r="B1030" s="3">
        <v>27871</v>
      </c>
      <c r="C1030" s="3">
        <v>27945</v>
      </c>
      <c r="D1030" s="3">
        <v>28015</v>
      </c>
      <c r="E1030" s="3">
        <v>27665</v>
      </c>
      <c r="F1030" s="3">
        <v>60</v>
      </c>
      <c r="G1030" s="7">
        <f t="shared" si="152"/>
        <v>0</v>
      </c>
      <c r="H1030" s="5">
        <f t="shared" si="147"/>
        <v>-3.9668358230290903E-3</v>
      </c>
      <c r="I1030" s="4">
        <f t="shared" si="148"/>
        <v>7.3900504686373464E-3</v>
      </c>
      <c r="J1030" s="4">
        <f t="shared" si="149"/>
        <v>-5.8552164655784247E-3</v>
      </c>
      <c r="K1030" s="4">
        <f t="shared" si="150"/>
        <v>-7.224128589488893E-4</v>
      </c>
      <c r="L1030" s="4">
        <f t="shared" si="151"/>
        <v>0</v>
      </c>
      <c r="M1030" s="3">
        <f t="shared" si="144"/>
        <v>10</v>
      </c>
      <c r="N1030" s="3">
        <f t="shared" si="145"/>
        <v>9</v>
      </c>
      <c r="O1030" s="3">
        <f t="shared" si="146"/>
        <v>1</v>
      </c>
    </row>
    <row r="1031" spans="1:15" x14ac:dyDescent="0.2">
      <c r="A1031" s="2">
        <v>45209</v>
      </c>
      <c r="B1031" s="3">
        <v>28491</v>
      </c>
      <c r="C1031" s="3">
        <v>28070</v>
      </c>
      <c r="D1031" s="3">
        <v>28505</v>
      </c>
      <c r="E1031" s="3">
        <v>28060</v>
      </c>
      <c r="F1031" s="3">
        <v>30</v>
      </c>
      <c r="G1031" s="7">
        <f t="shared" si="152"/>
        <v>1</v>
      </c>
      <c r="H1031" s="5">
        <f t="shared" si="147"/>
        <v>2.2245344623443724E-2</v>
      </c>
      <c r="I1031" s="4">
        <f t="shared" si="148"/>
        <v>4.4730721059223471E-3</v>
      </c>
      <c r="J1031" s="4">
        <f t="shared" si="149"/>
        <v>1.7490630019632341E-2</v>
      </c>
      <c r="K1031" s="4">
        <f t="shared" si="150"/>
        <v>1.4277968552322429E-2</v>
      </c>
      <c r="L1031" s="4">
        <f t="shared" si="151"/>
        <v>-0.5</v>
      </c>
      <c r="M1031" s="3">
        <f t="shared" si="144"/>
        <v>10</v>
      </c>
      <c r="N1031" s="3">
        <f t="shared" si="145"/>
        <v>10</v>
      </c>
      <c r="O1031" s="3">
        <f t="shared" si="146"/>
        <v>2</v>
      </c>
    </row>
    <row r="1032" spans="1:15" x14ac:dyDescent="0.2">
      <c r="A1032" s="2">
        <v>45210</v>
      </c>
      <c r="B1032" s="3">
        <v>28598</v>
      </c>
      <c r="C1032" s="3">
        <v>28335</v>
      </c>
      <c r="D1032" s="3">
        <v>28725</v>
      </c>
      <c r="E1032" s="3">
        <v>28335</v>
      </c>
      <c r="F1032" s="3">
        <v>50</v>
      </c>
      <c r="G1032" s="7">
        <f t="shared" si="152"/>
        <v>1</v>
      </c>
      <c r="H1032" s="5">
        <f t="shared" si="147"/>
        <v>3.7555719349970165E-3</v>
      </c>
      <c r="I1032" s="4">
        <f t="shared" si="148"/>
        <v>9.440684004275026E-3</v>
      </c>
      <c r="J1032" s="4">
        <f t="shared" si="149"/>
        <v>7.7179442203122259E-3</v>
      </c>
      <c r="K1032" s="4">
        <f t="shared" si="150"/>
        <v>9.8004276550249462E-3</v>
      </c>
      <c r="L1032" s="4">
        <f t="shared" si="151"/>
        <v>0.66666666666666663</v>
      </c>
      <c r="M1032" s="3">
        <f t="shared" si="144"/>
        <v>10</v>
      </c>
      <c r="N1032" s="3">
        <f t="shared" si="145"/>
        <v>11</v>
      </c>
      <c r="O1032" s="3">
        <f t="shared" si="146"/>
        <v>3</v>
      </c>
    </row>
    <row r="1033" spans="1:15" x14ac:dyDescent="0.2">
      <c r="A1033" s="2">
        <v>45211</v>
      </c>
      <c r="B1033" s="3">
        <v>28656</v>
      </c>
      <c r="C1033" s="3">
        <v>28760</v>
      </c>
      <c r="D1033" s="3">
        <v>28880</v>
      </c>
      <c r="E1033" s="3">
        <v>28525</v>
      </c>
      <c r="F1033" s="3">
        <v>30</v>
      </c>
      <c r="G1033" s="7">
        <f t="shared" si="152"/>
        <v>1</v>
      </c>
      <c r="H1033" s="5">
        <f t="shared" si="147"/>
        <v>2.0281138541156725E-3</v>
      </c>
      <c r="I1033" s="4">
        <f t="shared" si="148"/>
        <v>1.4999117698958885E-2</v>
      </c>
      <c r="J1033" s="4">
        <f t="shared" si="149"/>
        <v>5.3959965187119234E-3</v>
      </c>
      <c r="K1033" s="4">
        <f t="shared" si="150"/>
        <v>6.7054879124757369E-3</v>
      </c>
      <c r="L1033" s="4">
        <f t="shared" si="151"/>
        <v>-0.4</v>
      </c>
      <c r="M1033" s="3">
        <f t="shared" si="144"/>
        <v>10</v>
      </c>
      <c r="N1033" s="3">
        <f t="shared" si="145"/>
        <v>12</v>
      </c>
      <c r="O1033" s="3">
        <f t="shared" si="146"/>
        <v>4</v>
      </c>
    </row>
    <row r="1034" spans="1:15" x14ac:dyDescent="0.2">
      <c r="A1034" s="2">
        <v>45212</v>
      </c>
      <c r="B1034" s="3">
        <v>28391</v>
      </c>
      <c r="C1034" s="3">
        <v>28590</v>
      </c>
      <c r="D1034" s="3">
        <v>28680</v>
      </c>
      <c r="E1034" s="3">
        <v>28325</v>
      </c>
      <c r="F1034" s="3">
        <v>30</v>
      </c>
      <c r="G1034" s="7">
        <f t="shared" si="152"/>
        <v>0</v>
      </c>
      <c r="H1034" s="5">
        <f t="shared" si="147"/>
        <v>-9.2476270240089333E-3</v>
      </c>
      <c r="I1034" s="4">
        <f t="shared" si="148"/>
        <v>-5.9109874826147428E-3</v>
      </c>
      <c r="J1034" s="4">
        <f t="shared" si="149"/>
        <v>-6.9252077562326868E-3</v>
      </c>
      <c r="K1034" s="4">
        <f t="shared" si="150"/>
        <v>-7.0113935144609993E-3</v>
      </c>
      <c r="L1034" s="4">
        <f t="shared" si="151"/>
        <v>0</v>
      </c>
      <c r="M1034" s="3">
        <f t="shared" si="144"/>
        <v>10</v>
      </c>
      <c r="N1034" s="3">
        <f t="shared" si="145"/>
        <v>13</v>
      </c>
      <c r="O1034" s="3">
        <f t="shared" si="146"/>
        <v>5</v>
      </c>
    </row>
    <row r="1035" spans="1:15" x14ac:dyDescent="0.2">
      <c r="A1035" s="2">
        <v>45215</v>
      </c>
      <c r="B1035" s="3">
        <v>28548</v>
      </c>
      <c r="C1035" s="3">
        <v>28280</v>
      </c>
      <c r="D1035" s="3">
        <v>28620</v>
      </c>
      <c r="E1035" s="3">
        <v>28265</v>
      </c>
      <c r="F1035" s="3">
        <v>30</v>
      </c>
      <c r="G1035" s="7">
        <f t="shared" si="152"/>
        <v>1</v>
      </c>
      <c r="H1035" s="5">
        <f t="shared" si="147"/>
        <v>5.5299214539818956E-3</v>
      </c>
      <c r="I1035" s="4">
        <f t="shared" si="148"/>
        <v>-1.0842952081147255E-2</v>
      </c>
      <c r="J1035" s="4">
        <f t="shared" si="149"/>
        <v>-2.0920502092050207E-3</v>
      </c>
      <c r="K1035" s="4">
        <f t="shared" si="150"/>
        <v>-2.118270079435128E-3</v>
      </c>
      <c r="L1035" s="4">
        <f t="shared" si="151"/>
        <v>0</v>
      </c>
      <c r="M1035" s="3">
        <f t="shared" si="144"/>
        <v>10</v>
      </c>
      <c r="N1035" s="3">
        <f t="shared" si="145"/>
        <v>16</v>
      </c>
      <c r="O1035" s="3">
        <f t="shared" si="146"/>
        <v>1</v>
      </c>
    </row>
    <row r="1036" spans="1:15" x14ac:dyDescent="0.2">
      <c r="A1036" s="2">
        <v>45216</v>
      </c>
      <c r="B1036" s="3">
        <v>28532</v>
      </c>
      <c r="C1036" s="3">
        <v>28530</v>
      </c>
      <c r="D1036" s="3">
        <v>28660</v>
      </c>
      <c r="E1036" s="3">
        <v>28305</v>
      </c>
      <c r="F1036" s="3">
        <v>30</v>
      </c>
      <c r="G1036" s="7">
        <f t="shared" si="152"/>
        <v>0</v>
      </c>
      <c r="H1036" s="5">
        <f t="shared" si="147"/>
        <v>-5.6045957685301948E-4</v>
      </c>
      <c r="I1036" s="4">
        <f t="shared" si="148"/>
        <v>8.8401697312588401E-3</v>
      </c>
      <c r="J1036" s="4">
        <f t="shared" si="149"/>
        <v>1.397624039133473E-3</v>
      </c>
      <c r="K1036" s="4">
        <f t="shared" si="150"/>
        <v>1.4151777817088271E-3</v>
      </c>
      <c r="L1036" s="4">
        <f t="shared" si="151"/>
        <v>0</v>
      </c>
      <c r="M1036" s="3">
        <f t="shared" si="144"/>
        <v>10</v>
      </c>
      <c r="N1036" s="3">
        <f t="shared" si="145"/>
        <v>17</v>
      </c>
      <c r="O1036" s="3">
        <f t="shared" si="146"/>
        <v>2</v>
      </c>
    </row>
    <row r="1037" spans="1:15" x14ac:dyDescent="0.2">
      <c r="A1037" s="2">
        <v>45217</v>
      </c>
      <c r="B1037" s="3">
        <v>28305</v>
      </c>
      <c r="C1037" s="3">
        <v>28555</v>
      </c>
      <c r="D1037" s="3">
        <v>28620</v>
      </c>
      <c r="E1037" s="3">
        <v>28225</v>
      </c>
      <c r="F1037" s="3">
        <v>30</v>
      </c>
      <c r="G1037" s="7">
        <f t="shared" si="152"/>
        <v>0</v>
      </c>
      <c r="H1037" s="5">
        <f t="shared" si="147"/>
        <v>-7.9559792513668858E-3</v>
      </c>
      <c r="I1037" s="4">
        <f t="shared" si="148"/>
        <v>8.7627059235892044E-4</v>
      </c>
      <c r="J1037" s="4">
        <f t="shared" si="149"/>
        <v>-1.3956734124214933E-3</v>
      </c>
      <c r="K1037" s="4">
        <f t="shared" si="150"/>
        <v>-2.8263557675322383E-3</v>
      </c>
      <c r="L1037" s="4">
        <f t="shared" si="151"/>
        <v>0</v>
      </c>
      <c r="M1037" s="3">
        <f t="shared" si="144"/>
        <v>10</v>
      </c>
      <c r="N1037" s="3">
        <f t="shared" si="145"/>
        <v>18</v>
      </c>
      <c r="O1037" s="3">
        <f t="shared" si="146"/>
        <v>3</v>
      </c>
    </row>
    <row r="1038" spans="1:15" x14ac:dyDescent="0.2">
      <c r="A1038" s="2">
        <v>45218</v>
      </c>
      <c r="B1038" s="3">
        <v>27922</v>
      </c>
      <c r="C1038" s="3">
        <v>28110</v>
      </c>
      <c r="D1038" s="3">
        <v>28150</v>
      </c>
      <c r="E1038" s="3">
        <v>27675</v>
      </c>
      <c r="F1038" s="3">
        <v>60</v>
      </c>
      <c r="G1038" s="7">
        <f t="shared" si="152"/>
        <v>0</v>
      </c>
      <c r="H1038" s="5">
        <f t="shared" si="147"/>
        <v>-1.353117823706059E-2</v>
      </c>
      <c r="I1038" s="4">
        <f t="shared" si="148"/>
        <v>-1.5583960777447031E-2</v>
      </c>
      <c r="J1038" s="4">
        <f t="shared" si="149"/>
        <v>-1.6422082459818309E-2</v>
      </c>
      <c r="K1038" s="4">
        <f t="shared" si="150"/>
        <v>-1.9486271036315322E-2</v>
      </c>
      <c r="L1038" s="4">
        <f t="shared" si="151"/>
        <v>1</v>
      </c>
      <c r="M1038" s="3">
        <f t="shared" si="144"/>
        <v>10</v>
      </c>
      <c r="N1038" s="3">
        <f t="shared" si="145"/>
        <v>19</v>
      </c>
      <c r="O1038" s="3">
        <f t="shared" si="146"/>
        <v>4</v>
      </c>
    </row>
    <row r="1039" spans="1:15" x14ac:dyDescent="0.2">
      <c r="A1039" s="2">
        <v>45219</v>
      </c>
      <c r="B1039" s="3">
        <v>27516</v>
      </c>
      <c r="C1039" s="3">
        <v>27660</v>
      </c>
      <c r="D1039" s="3">
        <v>27790</v>
      </c>
      <c r="E1039" s="3">
        <v>27510</v>
      </c>
      <c r="F1039" s="3">
        <v>350</v>
      </c>
      <c r="G1039" s="7">
        <f t="shared" si="152"/>
        <v>0</v>
      </c>
      <c r="H1039" s="5">
        <f t="shared" si="147"/>
        <v>-1.4540505694434496E-2</v>
      </c>
      <c r="I1039" s="4">
        <f t="shared" si="148"/>
        <v>-1.6008537886872998E-2</v>
      </c>
      <c r="J1039" s="4">
        <f t="shared" si="149"/>
        <v>-1.2788632326820605E-2</v>
      </c>
      <c r="K1039" s="4">
        <f t="shared" si="150"/>
        <v>-5.962059620596206E-3</v>
      </c>
      <c r="L1039" s="4">
        <f t="shared" si="151"/>
        <v>4.833333333333333</v>
      </c>
      <c r="M1039" s="3">
        <f t="shared" si="144"/>
        <v>10</v>
      </c>
      <c r="N1039" s="3">
        <f t="shared" si="145"/>
        <v>20</v>
      </c>
      <c r="O1039" s="3">
        <f t="shared" si="146"/>
        <v>5</v>
      </c>
    </row>
    <row r="1040" spans="1:15" x14ac:dyDescent="0.2">
      <c r="A1040" s="2">
        <v>45222</v>
      </c>
      <c r="B1040" s="3">
        <v>27715</v>
      </c>
      <c r="C1040" s="3">
        <v>27525</v>
      </c>
      <c r="D1040" s="3">
        <v>27720</v>
      </c>
      <c r="E1040" s="3">
        <v>27525</v>
      </c>
      <c r="F1040" s="3">
        <v>20</v>
      </c>
      <c r="G1040" s="7">
        <f t="shared" si="152"/>
        <v>1</v>
      </c>
      <c r="H1040" s="5">
        <f t="shared" si="147"/>
        <v>7.232155836604158E-3</v>
      </c>
      <c r="I1040" s="4">
        <f t="shared" si="148"/>
        <v>-4.8806941431670282E-3</v>
      </c>
      <c r="J1040" s="4">
        <f t="shared" si="149"/>
        <v>-2.5188916876574307E-3</v>
      </c>
      <c r="K1040" s="4">
        <f t="shared" si="150"/>
        <v>5.4525627044711017E-4</v>
      </c>
      <c r="L1040" s="4">
        <f t="shared" si="151"/>
        <v>-0.94285714285714284</v>
      </c>
      <c r="M1040" s="3">
        <f t="shared" si="144"/>
        <v>10</v>
      </c>
      <c r="N1040" s="3">
        <f t="shared" si="145"/>
        <v>23</v>
      </c>
      <c r="O1040" s="3">
        <f t="shared" si="146"/>
        <v>1</v>
      </c>
    </row>
    <row r="1041" spans="1:15" x14ac:dyDescent="0.2">
      <c r="A1041" s="2">
        <v>45223</v>
      </c>
      <c r="B1041" s="3">
        <v>27695</v>
      </c>
      <c r="C1041" s="3">
        <v>27715</v>
      </c>
      <c r="D1041" s="3">
        <v>27780</v>
      </c>
      <c r="E1041" s="3">
        <v>27565</v>
      </c>
      <c r="F1041" s="3">
        <v>40</v>
      </c>
      <c r="G1041" s="7">
        <f t="shared" si="152"/>
        <v>0</v>
      </c>
      <c r="H1041" s="5">
        <f t="shared" si="147"/>
        <v>-7.216308858019123E-4</v>
      </c>
      <c r="I1041" s="4">
        <f t="shared" si="148"/>
        <v>6.9028156221616708E-3</v>
      </c>
      <c r="J1041" s="4">
        <f t="shared" si="149"/>
        <v>2.1645021645021645E-3</v>
      </c>
      <c r="K1041" s="4">
        <f t="shared" si="150"/>
        <v>1.4532243415077202E-3</v>
      </c>
      <c r="L1041" s="4">
        <f t="shared" si="151"/>
        <v>1</v>
      </c>
      <c r="M1041" s="3">
        <f t="shared" si="144"/>
        <v>10</v>
      </c>
      <c r="N1041" s="3">
        <f t="shared" si="145"/>
        <v>24</v>
      </c>
      <c r="O1041" s="3">
        <f t="shared" si="146"/>
        <v>2</v>
      </c>
    </row>
    <row r="1042" spans="1:15" x14ac:dyDescent="0.2">
      <c r="A1042" s="2">
        <v>45224</v>
      </c>
      <c r="B1042" s="3">
        <v>27568</v>
      </c>
      <c r="C1042" s="3">
        <v>27630</v>
      </c>
      <c r="D1042" s="3">
        <v>27630</v>
      </c>
      <c r="E1042" s="3">
        <v>27380</v>
      </c>
      <c r="F1042" s="3">
        <v>20</v>
      </c>
      <c r="G1042" s="7">
        <f t="shared" si="152"/>
        <v>0</v>
      </c>
      <c r="H1042" s="5">
        <f t="shared" si="147"/>
        <v>-4.5856652825419751E-3</v>
      </c>
      <c r="I1042" s="4">
        <f t="shared" si="148"/>
        <v>-3.0669312646581272E-3</v>
      </c>
      <c r="J1042" s="4">
        <f t="shared" si="149"/>
        <v>-5.3995680345572351E-3</v>
      </c>
      <c r="K1042" s="4">
        <f t="shared" si="150"/>
        <v>-6.7114093959731542E-3</v>
      </c>
      <c r="L1042" s="4">
        <f t="shared" si="151"/>
        <v>-0.5</v>
      </c>
      <c r="M1042" s="3">
        <f t="shared" si="144"/>
        <v>10</v>
      </c>
      <c r="N1042" s="3">
        <f t="shared" si="145"/>
        <v>25</v>
      </c>
      <c r="O1042" s="3">
        <f t="shared" si="146"/>
        <v>3</v>
      </c>
    </row>
    <row r="1043" spans="1:15" x14ac:dyDescent="0.2">
      <c r="A1043" s="2">
        <v>45225</v>
      </c>
      <c r="B1043" s="3">
        <v>27627</v>
      </c>
      <c r="C1043" s="3">
        <v>27360</v>
      </c>
      <c r="D1043" s="3">
        <v>27610</v>
      </c>
      <c r="E1043" s="3">
        <v>27205</v>
      </c>
      <c r="F1043" s="3">
        <v>40</v>
      </c>
      <c r="G1043" s="7">
        <f t="shared" si="152"/>
        <v>1</v>
      </c>
      <c r="H1043" s="5">
        <f t="shared" si="147"/>
        <v>2.1401625072547882E-3</v>
      </c>
      <c r="I1043" s="4">
        <f t="shared" si="148"/>
        <v>-9.7719869706840382E-3</v>
      </c>
      <c r="J1043" s="4">
        <f t="shared" si="149"/>
        <v>-7.2385088671733622E-4</v>
      </c>
      <c r="K1043" s="4">
        <f t="shared" si="150"/>
        <v>-6.3915266617969322E-3</v>
      </c>
      <c r="L1043" s="4">
        <f t="shared" si="151"/>
        <v>1</v>
      </c>
      <c r="M1043" s="3">
        <f t="shared" si="144"/>
        <v>10</v>
      </c>
      <c r="N1043" s="3">
        <f t="shared" si="145"/>
        <v>26</v>
      </c>
      <c r="O1043" s="3">
        <f t="shared" si="146"/>
        <v>4</v>
      </c>
    </row>
    <row r="1044" spans="1:15" x14ac:dyDescent="0.2">
      <c r="A1044" s="2">
        <v>45226</v>
      </c>
      <c r="B1044" s="3">
        <v>27432</v>
      </c>
      <c r="C1044" s="3">
        <v>27705</v>
      </c>
      <c r="D1044" s="3">
        <v>27760</v>
      </c>
      <c r="E1044" s="3">
        <v>27215</v>
      </c>
      <c r="F1044" s="3">
        <v>30</v>
      </c>
      <c r="G1044" s="7">
        <f t="shared" si="152"/>
        <v>0</v>
      </c>
      <c r="H1044" s="5">
        <f t="shared" si="147"/>
        <v>-7.0583125203605166E-3</v>
      </c>
      <c r="I1044" s="4">
        <f t="shared" si="148"/>
        <v>1.2609649122807017E-2</v>
      </c>
      <c r="J1044" s="4">
        <f t="shared" si="149"/>
        <v>5.4328141977544372E-3</v>
      </c>
      <c r="K1044" s="4">
        <f t="shared" si="150"/>
        <v>3.6757948906451017E-4</v>
      </c>
      <c r="L1044" s="4">
        <f t="shared" si="151"/>
        <v>-0.25</v>
      </c>
      <c r="M1044" s="3">
        <f t="shared" si="144"/>
        <v>10</v>
      </c>
      <c r="N1044" s="3">
        <f t="shared" si="145"/>
        <v>27</v>
      </c>
      <c r="O1044" s="3">
        <f t="shared" si="146"/>
        <v>5</v>
      </c>
    </row>
    <row r="1045" spans="1:15" x14ac:dyDescent="0.2">
      <c r="A1045" s="2">
        <v>45229</v>
      </c>
      <c r="B1045" s="3">
        <v>27433</v>
      </c>
      <c r="C1045" s="3">
        <v>27480</v>
      </c>
      <c r="D1045" s="3">
        <v>27640</v>
      </c>
      <c r="E1045" s="3">
        <v>27420</v>
      </c>
      <c r="F1045" s="3">
        <v>10</v>
      </c>
      <c r="G1045" s="7">
        <f t="shared" si="152"/>
        <v>1</v>
      </c>
      <c r="H1045" s="5">
        <f t="shared" si="147"/>
        <v>3.6453776611256929E-5</v>
      </c>
      <c r="I1045" s="4">
        <f t="shared" si="148"/>
        <v>-8.1212777476989718E-3</v>
      </c>
      <c r="J1045" s="4">
        <f t="shared" si="149"/>
        <v>-4.3227665706051877E-3</v>
      </c>
      <c r="K1045" s="4">
        <f t="shared" si="150"/>
        <v>7.5326106926327397E-3</v>
      </c>
      <c r="L1045" s="4">
        <f t="shared" si="151"/>
        <v>-0.66666666666666663</v>
      </c>
      <c r="M1045" s="3">
        <f t="shared" si="144"/>
        <v>10</v>
      </c>
      <c r="N1045" s="3">
        <f t="shared" si="145"/>
        <v>30</v>
      </c>
      <c r="O1045" s="3">
        <f t="shared" si="146"/>
        <v>1</v>
      </c>
    </row>
    <row r="1046" spans="1:15" x14ac:dyDescent="0.2">
      <c r="A1046" s="2">
        <v>45230</v>
      </c>
      <c r="B1046" s="3">
        <v>27845</v>
      </c>
      <c r="C1046" s="3">
        <v>27495</v>
      </c>
      <c r="D1046" s="3">
        <v>27870</v>
      </c>
      <c r="E1046" s="3">
        <v>27495</v>
      </c>
      <c r="F1046" s="3">
        <v>20</v>
      </c>
      <c r="G1046" s="7">
        <f t="shared" si="152"/>
        <v>1</v>
      </c>
      <c r="H1046" s="5">
        <f t="shared" si="147"/>
        <v>1.5018408486129843E-2</v>
      </c>
      <c r="I1046" s="4">
        <f t="shared" si="148"/>
        <v>5.4585152838427945E-4</v>
      </c>
      <c r="J1046" s="4">
        <f t="shared" si="149"/>
        <v>8.321273516642547E-3</v>
      </c>
      <c r="K1046" s="4">
        <f t="shared" si="150"/>
        <v>2.7352297592997811E-3</v>
      </c>
      <c r="L1046" s="4">
        <f t="shared" si="151"/>
        <v>1</v>
      </c>
      <c r="M1046" s="3">
        <f t="shared" si="144"/>
        <v>10</v>
      </c>
      <c r="N1046" s="3">
        <f t="shared" si="145"/>
        <v>31</v>
      </c>
      <c r="O1046" s="3">
        <f t="shared" si="146"/>
        <v>2</v>
      </c>
    </row>
    <row r="1047" spans="1:15" x14ac:dyDescent="0.2">
      <c r="A1047" s="2">
        <v>45231</v>
      </c>
      <c r="B1047" s="3">
        <v>28067</v>
      </c>
      <c r="C1047" s="3">
        <v>27955</v>
      </c>
      <c r="D1047" s="3">
        <v>28200</v>
      </c>
      <c r="E1047" s="3">
        <v>27825</v>
      </c>
      <c r="F1047" s="3">
        <v>60</v>
      </c>
      <c r="G1047" s="7">
        <f t="shared" si="152"/>
        <v>1</v>
      </c>
      <c r="H1047" s="5">
        <f t="shared" si="147"/>
        <v>7.9727060513557196E-3</v>
      </c>
      <c r="I1047" s="4">
        <f t="shared" si="148"/>
        <v>1.673031460265503E-2</v>
      </c>
      <c r="J1047" s="4">
        <f t="shared" si="149"/>
        <v>1.1840688912809472E-2</v>
      </c>
      <c r="K1047" s="4">
        <f t="shared" si="150"/>
        <v>1.2002182214948172E-2</v>
      </c>
      <c r="L1047" s="4">
        <f t="shared" si="151"/>
        <v>2</v>
      </c>
      <c r="M1047" s="3">
        <f t="shared" si="144"/>
        <v>11</v>
      </c>
      <c r="N1047" s="3">
        <f t="shared" si="145"/>
        <v>1</v>
      </c>
      <c r="O1047" s="3">
        <f t="shared" si="146"/>
        <v>3</v>
      </c>
    </row>
    <row r="1048" spans="1:15" x14ac:dyDescent="0.2">
      <c r="A1048" s="2">
        <v>45232</v>
      </c>
      <c r="B1048" s="3">
        <v>28558</v>
      </c>
      <c r="C1048" s="3">
        <v>28225</v>
      </c>
      <c r="D1048" s="3">
        <v>28680</v>
      </c>
      <c r="E1048" s="3">
        <v>28225</v>
      </c>
      <c r="F1048" s="3">
        <v>50</v>
      </c>
      <c r="G1048" s="7">
        <f t="shared" si="152"/>
        <v>1</v>
      </c>
      <c r="H1048" s="5">
        <f t="shared" si="147"/>
        <v>1.7493853992232872E-2</v>
      </c>
      <c r="I1048" s="4">
        <f t="shared" si="148"/>
        <v>9.6583795385440895E-3</v>
      </c>
      <c r="J1048" s="4">
        <f t="shared" si="149"/>
        <v>1.7021276595744681E-2</v>
      </c>
      <c r="K1048" s="4">
        <f t="shared" si="150"/>
        <v>1.4375561545372867E-2</v>
      </c>
      <c r="L1048" s="4">
        <f t="shared" si="151"/>
        <v>-0.16666666666666666</v>
      </c>
      <c r="M1048" s="3">
        <f t="shared" si="144"/>
        <v>11</v>
      </c>
      <c r="N1048" s="3">
        <f t="shared" si="145"/>
        <v>2</v>
      </c>
      <c r="O1048" s="3">
        <f t="shared" si="146"/>
        <v>4</v>
      </c>
    </row>
    <row r="1049" spans="1:15" x14ac:dyDescent="0.2">
      <c r="A1049" s="2">
        <v>45233</v>
      </c>
      <c r="B1049" s="3">
        <v>28760</v>
      </c>
      <c r="C1049" s="3">
        <v>28650</v>
      </c>
      <c r="D1049" s="3">
        <v>28770</v>
      </c>
      <c r="E1049" s="3">
        <v>28600</v>
      </c>
      <c r="F1049" s="3">
        <v>60</v>
      </c>
      <c r="G1049" s="7">
        <f t="shared" si="152"/>
        <v>1</v>
      </c>
      <c r="H1049" s="5">
        <f t="shared" si="147"/>
        <v>7.0733244624973735E-3</v>
      </c>
      <c r="I1049" s="4">
        <f t="shared" si="148"/>
        <v>1.5057573073516387E-2</v>
      </c>
      <c r="J1049" s="4">
        <f t="shared" si="149"/>
        <v>3.1380753138075313E-3</v>
      </c>
      <c r="K1049" s="4">
        <f t="shared" si="150"/>
        <v>1.3286093888396812E-2</v>
      </c>
      <c r="L1049" s="4">
        <f t="shared" si="151"/>
        <v>0.2</v>
      </c>
      <c r="M1049" s="3">
        <f t="shared" si="144"/>
        <v>11</v>
      </c>
      <c r="N1049" s="3">
        <f t="shared" si="145"/>
        <v>3</v>
      </c>
      <c r="O1049" s="3">
        <f t="shared" si="146"/>
        <v>5</v>
      </c>
    </row>
    <row r="1050" spans="1:15" x14ac:dyDescent="0.2">
      <c r="A1050" s="2">
        <v>45236</v>
      </c>
      <c r="B1050" s="3">
        <v>28683</v>
      </c>
      <c r="C1050" s="3">
        <v>28840</v>
      </c>
      <c r="D1050" s="3">
        <v>28840</v>
      </c>
      <c r="E1050" s="3">
        <v>28545</v>
      </c>
      <c r="F1050" s="3">
        <v>20</v>
      </c>
      <c r="G1050" s="7">
        <f t="shared" si="152"/>
        <v>0</v>
      </c>
      <c r="H1050" s="5">
        <f t="shared" si="147"/>
        <v>-2.6773296244784425E-3</v>
      </c>
      <c r="I1050" s="4">
        <f t="shared" si="148"/>
        <v>6.6317626527050613E-3</v>
      </c>
      <c r="J1050" s="4">
        <f t="shared" si="149"/>
        <v>2.4330900243309003E-3</v>
      </c>
      <c r="K1050" s="4">
        <f t="shared" si="150"/>
        <v>-1.9230769230769232E-3</v>
      </c>
      <c r="L1050" s="4">
        <f t="shared" si="151"/>
        <v>-0.66666666666666663</v>
      </c>
      <c r="M1050" s="3">
        <f t="shared" si="144"/>
        <v>11</v>
      </c>
      <c r="N1050" s="3">
        <f t="shared" si="145"/>
        <v>6</v>
      </c>
      <c r="O1050" s="3">
        <f t="shared" si="146"/>
        <v>1</v>
      </c>
    </row>
    <row r="1051" spans="1:15" x14ac:dyDescent="0.2">
      <c r="A1051" s="2">
        <v>45237</v>
      </c>
      <c r="B1051" s="3">
        <v>28482</v>
      </c>
      <c r="C1051" s="3">
        <v>28610</v>
      </c>
      <c r="D1051" s="3">
        <v>28705</v>
      </c>
      <c r="E1051" s="3">
        <v>28420</v>
      </c>
      <c r="F1051" s="3">
        <v>70</v>
      </c>
      <c r="G1051" s="7">
        <f t="shared" si="152"/>
        <v>0</v>
      </c>
      <c r="H1051" s="5">
        <f t="shared" si="147"/>
        <v>-7.007635184604121E-3</v>
      </c>
      <c r="I1051" s="4">
        <f t="shared" si="148"/>
        <v>-7.9750346740638002E-3</v>
      </c>
      <c r="J1051" s="4">
        <f t="shared" si="149"/>
        <v>-4.6809986130374476E-3</v>
      </c>
      <c r="K1051" s="4">
        <f t="shared" si="150"/>
        <v>-4.3790506218251883E-3</v>
      </c>
      <c r="L1051" s="4">
        <f t="shared" si="151"/>
        <v>2.5</v>
      </c>
      <c r="M1051" s="3">
        <f t="shared" si="144"/>
        <v>11</v>
      </c>
      <c r="N1051" s="3">
        <f t="shared" si="145"/>
        <v>7</v>
      </c>
      <c r="O1051" s="3">
        <f t="shared" si="146"/>
        <v>2</v>
      </c>
    </row>
    <row r="1052" spans="1:15" x14ac:dyDescent="0.2">
      <c r="A1052" s="2">
        <v>45238</v>
      </c>
      <c r="B1052" s="3">
        <v>28523</v>
      </c>
      <c r="C1052" s="3">
        <v>28410</v>
      </c>
      <c r="D1052" s="3">
        <v>28680</v>
      </c>
      <c r="E1052" s="3">
        <v>28300</v>
      </c>
      <c r="F1052" s="3">
        <v>40</v>
      </c>
      <c r="G1052" s="7">
        <f t="shared" si="152"/>
        <v>1</v>
      </c>
      <c r="H1052" s="5">
        <f t="shared" si="147"/>
        <v>1.4395056526929288E-3</v>
      </c>
      <c r="I1052" s="4">
        <f t="shared" si="148"/>
        <v>-6.9905627403005939E-3</v>
      </c>
      <c r="J1052" s="4">
        <f t="shared" si="149"/>
        <v>-8.7092840968472395E-4</v>
      </c>
      <c r="K1052" s="4">
        <f t="shared" si="150"/>
        <v>-4.22237860661506E-3</v>
      </c>
      <c r="L1052" s="4">
        <f t="shared" si="151"/>
        <v>-0.42857142857142855</v>
      </c>
      <c r="M1052" s="3">
        <f t="shared" si="144"/>
        <v>11</v>
      </c>
      <c r="N1052" s="3">
        <f t="shared" si="145"/>
        <v>8</v>
      </c>
      <c r="O1052" s="3">
        <f t="shared" si="146"/>
        <v>3</v>
      </c>
    </row>
    <row r="1053" spans="1:15" x14ac:dyDescent="0.2">
      <c r="A1053" s="2">
        <v>45239</v>
      </c>
      <c r="B1053" s="3">
        <v>28724</v>
      </c>
      <c r="C1053" s="3">
        <v>28540</v>
      </c>
      <c r="D1053" s="3">
        <v>28710</v>
      </c>
      <c r="E1053" s="3">
        <v>28540</v>
      </c>
      <c r="F1053" s="3">
        <v>20</v>
      </c>
      <c r="G1053" s="7">
        <f t="shared" si="152"/>
        <v>1</v>
      </c>
      <c r="H1053" s="5">
        <f t="shared" si="147"/>
        <v>7.0469445710479263E-3</v>
      </c>
      <c r="I1053" s="4">
        <f t="shared" si="148"/>
        <v>4.5758535726856744E-3</v>
      </c>
      <c r="J1053" s="4">
        <f t="shared" si="149"/>
        <v>1.0460251046025104E-3</v>
      </c>
      <c r="K1053" s="4">
        <f t="shared" si="150"/>
        <v>8.4805653710247342E-3</v>
      </c>
      <c r="L1053" s="4">
        <f t="shared" si="151"/>
        <v>-0.5</v>
      </c>
      <c r="M1053" s="3">
        <f t="shared" si="144"/>
        <v>11</v>
      </c>
      <c r="N1053" s="3">
        <f t="shared" si="145"/>
        <v>9</v>
      </c>
      <c r="O1053" s="3">
        <f t="shared" si="146"/>
        <v>4</v>
      </c>
    </row>
    <row r="1054" spans="1:15" x14ac:dyDescent="0.2">
      <c r="A1054" s="2">
        <v>45240</v>
      </c>
      <c r="B1054" s="3">
        <v>28579</v>
      </c>
      <c r="C1054" s="3">
        <v>28595</v>
      </c>
      <c r="D1054" s="3">
        <v>28815</v>
      </c>
      <c r="E1054" s="3">
        <v>28480</v>
      </c>
      <c r="F1054" s="3">
        <v>30</v>
      </c>
      <c r="G1054" s="7">
        <f t="shared" si="152"/>
        <v>0</v>
      </c>
      <c r="H1054" s="5">
        <f t="shared" si="147"/>
        <v>-5.0480434479877453E-3</v>
      </c>
      <c r="I1054" s="4">
        <f t="shared" si="148"/>
        <v>1.9271198318149966E-3</v>
      </c>
      <c r="J1054" s="4">
        <f t="shared" si="149"/>
        <v>3.6572622779519333E-3</v>
      </c>
      <c r="K1054" s="4">
        <f t="shared" si="150"/>
        <v>-2.1023125437981782E-3</v>
      </c>
      <c r="L1054" s="4">
        <f t="shared" si="151"/>
        <v>0.5</v>
      </c>
      <c r="M1054" s="3">
        <f t="shared" si="144"/>
        <v>11</v>
      </c>
      <c r="N1054" s="3">
        <f t="shared" si="145"/>
        <v>10</v>
      </c>
      <c r="O1054" s="3">
        <f t="shared" si="146"/>
        <v>5</v>
      </c>
    </row>
    <row r="1055" spans="1:15" x14ac:dyDescent="0.2">
      <c r="A1055" s="2">
        <v>45243</v>
      </c>
      <c r="B1055" s="3">
        <v>28966</v>
      </c>
      <c r="C1055" s="3">
        <v>28755</v>
      </c>
      <c r="D1055" s="3">
        <v>29010</v>
      </c>
      <c r="E1055" s="3">
        <v>28735</v>
      </c>
      <c r="F1055" s="3">
        <v>90</v>
      </c>
      <c r="G1055" s="7">
        <f t="shared" si="152"/>
        <v>1</v>
      </c>
      <c r="H1055" s="5">
        <f t="shared" si="147"/>
        <v>1.3541411525945624E-2</v>
      </c>
      <c r="I1055" s="4">
        <f t="shared" si="148"/>
        <v>5.5953838083581042E-3</v>
      </c>
      <c r="J1055" s="4">
        <f t="shared" si="149"/>
        <v>6.7673086933888599E-3</v>
      </c>
      <c r="K1055" s="4">
        <f t="shared" si="150"/>
        <v>8.9536516853932577E-3</v>
      </c>
      <c r="L1055" s="4">
        <f t="shared" si="151"/>
        <v>2</v>
      </c>
      <c r="M1055" s="3">
        <f t="shared" si="144"/>
        <v>11</v>
      </c>
      <c r="N1055" s="3">
        <f t="shared" si="145"/>
        <v>13</v>
      </c>
      <c r="O1055" s="3">
        <f t="shared" si="146"/>
        <v>1</v>
      </c>
    </row>
    <row r="1056" spans="1:15" x14ac:dyDescent="0.2">
      <c r="A1056" s="2">
        <v>45244</v>
      </c>
      <c r="B1056" s="3">
        <v>29407</v>
      </c>
      <c r="C1056" s="3">
        <v>28970</v>
      </c>
      <c r="D1056" s="3">
        <v>29440</v>
      </c>
      <c r="E1056" s="3">
        <v>28970</v>
      </c>
      <c r="F1056" s="3">
        <v>60</v>
      </c>
      <c r="G1056" s="7">
        <f t="shared" si="152"/>
        <v>1</v>
      </c>
      <c r="H1056" s="5">
        <f t="shared" si="147"/>
        <v>1.5224746254229097E-2</v>
      </c>
      <c r="I1056" s="4">
        <f t="shared" si="148"/>
        <v>7.4769605286037211E-3</v>
      </c>
      <c r="J1056" s="4">
        <f t="shared" si="149"/>
        <v>1.4822475008617718E-2</v>
      </c>
      <c r="K1056" s="4">
        <f t="shared" si="150"/>
        <v>8.1781799199582388E-3</v>
      </c>
      <c r="L1056" s="4">
        <f t="shared" si="151"/>
        <v>-0.33333333333333331</v>
      </c>
      <c r="M1056" s="3">
        <f t="shared" si="144"/>
        <v>11</v>
      </c>
      <c r="N1056" s="3">
        <f t="shared" si="145"/>
        <v>14</v>
      </c>
      <c r="O1056" s="3">
        <f t="shared" si="146"/>
        <v>2</v>
      </c>
    </row>
    <row r="1057" spans="1:15" x14ac:dyDescent="0.2">
      <c r="A1057" s="2">
        <v>45245</v>
      </c>
      <c r="B1057" s="3">
        <v>29541</v>
      </c>
      <c r="C1057" s="3">
        <v>29460</v>
      </c>
      <c r="D1057" s="3">
        <v>29585</v>
      </c>
      <c r="E1057" s="3">
        <v>29460</v>
      </c>
      <c r="F1057" s="3">
        <v>80</v>
      </c>
      <c r="G1057" s="7">
        <f t="shared" si="152"/>
        <v>1</v>
      </c>
      <c r="H1057" s="5">
        <f t="shared" si="147"/>
        <v>4.5567381915870373E-3</v>
      </c>
      <c r="I1057" s="4">
        <f t="shared" si="148"/>
        <v>1.6914049016223679E-2</v>
      </c>
      <c r="J1057" s="4">
        <f t="shared" si="149"/>
        <v>4.925271739130435E-3</v>
      </c>
      <c r="K1057" s="4">
        <f t="shared" si="150"/>
        <v>1.6914049016223679E-2</v>
      </c>
      <c r="L1057" s="4">
        <f t="shared" si="151"/>
        <v>0.33333333333333331</v>
      </c>
      <c r="M1057" s="3">
        <f t="shared" si="144"/>
        <v>11</v>
      </c>
      <c r="N1057" s="3">
        <f t="shared" si="145"/>
        <v>15</v>
      </c>
      <c r="O1057" s="3">
        <f t="shared" si="146"/>
        <v>3</v>
      </c>
    </row>
    <row r="1058" spans="1:15" x14ac:dyDescent="0.2">
      <c r="A1058" s="2">
        <v>45246</v>
      </c>
      <c r="B1058" s="3">
        <v>29329</v>
      </c>
      <c r="C1058" s="3">
        <v>29600</v>
      </c>
      <c r="D1058" s="3">
        <v>29600</v>
      </c>
      <c r="E1058" s="3">
        <v>29355</v>
      </c>
      <c r="F1058" s="3">
        <v>10</v>
      </c>
      <c r="G1058" s="7">
        <f t="shared" si="152"/>
        <v>0</v>
      </c>
      <c r="H1058" s="5">
        <f t="shared" si="147"/>
        <v>-7.176466605734403E-3</v>
      </c>
      <c r="I1058" s="4">
        <f t="shared" si="148"/>
        <v>4.7522063815342835E-3</v>
      </c>
      <c r="J1058" s="4">
        <f t="shared" si="149"/>
        <v>5.0701368936961299E-4</v>
      </c>
      <c r="K1058" s="4">
        <f t="shared" si="150"/>
        <v>-3.564154786150713E-3</v>
      </c>
      <c r="L1058" s="4">
        <f t="shared" si="151"/>
        <v>-0.875</v>
      </c>
      <c r="M1058" s="3">
        <f t="shared" si="144"/>
        <v>11</v>
      </c>
      <c r="N1058" s="3">
        <f t="shared" si="145"/>
        <v>16</v>
      </c>
      <c r="O1058" s="3">
        <f t="shared" si="146"/>
        <v>4</v>
      </c>
    </row>
    <row r="1059" spans="1:15" x14ac:dyDescent="0.2">
      <c r="A1059" s="2">
        <v>45247</v>
      </c>
      <c r="B1059" s="3">
        <v>29532</v>
      </c>
      <c r="C1059" s="3">
        <v>29425</v>
      </c>
      <c r="D1059" s="3">
        <v>29585</v>
      </c>
      <c r="E1059" s="3">
        <v>29425</v>
      </c>
      <c r="F1059" s="3">
        <v>30</v>
      </c>
      <c r="G1059" s="7">
        <f t="shared" si="152"/>
        <v>1</v>
      </c>
      <c r="H1059" s="5">
        <f t="shared" si="147"/>
        <v>6.9214770363803741E-3</v>
      </c>
      <c r="I1059" s="4">
        <f t="shared" si="148"/>
        <v>-5.9121621621621625E-3</v>
      </c>
      <c r="J1059" s="4">
        <f t="shared" si="149"/>
        <v>-5.0675675675675678E-4</v>
      </c>
      <c r="K1059" s="4">
        <f t="shared" si="150"/>
        <v>2.3846022824050416E-3</v>
      </c>
      <c r="L1059" s="4">
        <f t="shared" si="151"/>
        <v>2</v>
      </c>
      <c r="M1059" s="3">
        <f t="shared" si="144"/>
        <v>11</v>
      </c>
      <c r="N1059" s="3">
        <f t="shared" si="145"/>
        <v>17</v>
      </c>
      <c r="O1059" s="3">
        <f t="shared" si="146"/>
        <v>5</v>
      </c>
    </row>
    <row r="1060" spans="1:15" x14ac:dyDescent="0.2">
      <c r="A1060" s="2">
        <v>45250</v>
      </c>
      <c r="B1060" s="3">
        <v>29793</v>
      </c>
      <c r="C1060" s="3">
        <v>29830</v>
      </c>
      <c r="D1060" s="3">
        <v>29860</v>
      </c>
      <c r="E1060" s="3">
        <v>29700</v>
      </c>
      <c r="F1060" s="3">
        <v>40</v>
      </c>
      <c r="G1060" s="7">
        <f t="shared" si="152"/>
        <v>1</v>
      </c>
      <c r="H1060" s="5">
        <f t="shared" si="147"/>
        <v>8.8378707842340504E-3</v>
      </c>
      <c r="I1060" s="4">
        <f t="shared" si="148"/>
        <v>1.3763806287170773E-2</v>
      </c>
      <c r="J1060" s="4">
        <f t="shared" si="149"/>
        <v>9.2952509717762373E-3</v>
      </c>
      <c r="K1060" s="4">
        <f t="shared" si="150"/>
        <v>9.3457943925233638E-3</v>
      </c>
      <c r="L1060" s="4">
        <f t="shared" si="151"/>
        <v>0.33333333333333331</v>
      </c>
      <c r="M1060" s="3">
        <f t="shared" si="144"/>
        <v>11</v>
      </c>
      <c r="N1060" s="3">
        <f t="shared" si="145"/>
        <v>20</v>
      </c>
      <c r="O1060" s="3">
        <f t="shared" si="146"/>
        <v>1</v>
      </c>
    </row>
    <row r="1061" spans="1:15" x14ac:dyDescent="0.2">
      <c r="A1061" s="2">
        <v>45251</v>
      </c>
      <c r="B1061" s="3">
        <v>29444</v>
      </c>
      <c r="C1061" s="3">
        <v>29725</v>
      </c>
      <c r="D1061" s="3">
        <v>29725</v>
      </c>
      <c r="E1061" s="3">
        <v>29435</v>
      </c>
      <c r="F1061" s="3">
        <v>1320</v>
      </c>
      <c r="G1061" s="7">
        <f t="shared" si="152"/>
        <v>0</v>
      </c>
      <c r="H1061" s="5">
        <f t="shared" si="147"/>
        <v>-1.1714161044540664E-2</v>
      </c>
      <c r="I1061" s="4">
        <f t="shared" si="148"/>
        <v>-3.5199463627220919E-3</v>
      </c>
      <c r="J1061" s="4">
        <f t="shared" si="149"/>
        <v>-4.5210984594775622E-3</v>
      </c>
      <c r="K1061" s="4">
        <f t="shared" si="150"/>
        <v>-8.9225589225589222E-3</v>
      </c>
      <c r="L1061" s="4">
        <f t="shared" si="151"/>
        <v>32</v>
      </c>
      <c r="M1061" s="3">
        <f t="shared" si="144"/>
        <v>11</v>
      </c>
      <c r="N1061" s="3">
        <f t="shared" si="145"/>
        <v>21</v>
      </c>
      <c r="O1061" s="3">
        <f t="shared" si="146"/>
        <v>2</v>
      </c>
    </row>
    <row r="1062" spans="1:15" x14ac:dyDescent="0.2">
      <c r="A1062" s="2">
        <v>45252</v>
      </c>
      <c r="B1062" s="3">
        <v>29424</v>
      </c>
      <c r="C1062" s="3">
        <v>29565</v>
      </c>
      <c r="D1062" s="3">
        <v>29620</v>
      </c>
      <c r="E1062" s="3">
        <v>29420</v>
      </c>
      <c r="F1062" s="3">
        <v>40</v>
      </c>
      <c r="G1062" s="7">
        <f t="shared" si="152"/>
        <v>0</v>
      </c>
      <c r="H1062" s="5">
        <f t="shared" si="147"/>
        <v>-6.7925553593261787E-4</v>
      </c>
      <c r="I1062" s="4">
        <f t="shared" si="148"/>
        <v>-5.3826745164003362E-3</v>
      </c>
      <c r="J1062" s="4">
        <f t="shared" si="149"/>
        <v>-3.5323801513877208E-3</v>
      </c>
      <c r="K1062" s="4">
        <f t="shared" si="150"/>
        <v>-5.0959741803974863E-4</v>
      </c>
      <c r="L1062" s="4">
        <f t="shared" si="151"/>
        <v>-0.96969696969696972</v>
      </c>
      <c r="M1062" s="3">
        <f t="shared" si="144"/>
        <v>11</v>
      </c>
      <c r="N1062" s="3">
        <f t="shared" si="145"/>
        <v>22</v>
      </c>
      <c r="O1062" s="3">
        <f t="shared" si="146"/>
        <v>3</v>
      </c>
    </row>
    <row r="1063" spans="1:15" x14ac:dyDescent="0.2">
      <c r="A1063" s="2">
        <v>45253</v>
      </c>
      <c r="B1063" s="3">
        <v>29496</v>
      </c>
      <c r="C1063" s="3">
        <v>29455</v>
      </c>
      <c r="D1063" s="3">
        <v>29505</v>
      </c>
      <c r="E1063" s="3">
        <v>29345</v>
      </c>
      <c r="F1063" s="3">
        <v>30</v>
      </c>
      <c r="G1063" s="7">
        <f t="shared" si="152"/>
        <v>1</v>
      </c>
      <c r="H1063" s="5">
        <f t="shared" si="147"/>
        <v>2.4469820554649264E-3</v>
      </c>
      <c r="I1063" s="4">
        <f t="shared" si="148"/>
        <v>-3.7206155927617113E-3</v>
      </c>
      <c r="J1063" s="4">
        <f t="shared" si="149"/>
        <v>-3.8825118163403104E-3</v>
      </c>
      <c r="K1063" s="4">
        <f t="shared" si="150"/>
        <v>-2.5492861998640381E-3</v>
      </c>
      <c r="L1063" s="4">
        <f t="shared" si="151"/>
        <v>-0.25</v>
      </c>
      <c r="M1063" s="3">
        <f t="shared" si="144"/>
        <v>11</v>
      </c>
      <c r="N1063" s="3">
        <f t="shared" si="145"/>
        <v>23</v>
      </c>
      <c r="O1063" s="3">
        <f t="shared" si="146"/>
        <v>4</v>
      </c>
    </row>
    <row r="1064" spans="1:15" x14ac:dyDescent="0.2">
      <c r="A1064" s="2">
        <v>45254</v>
      </c>
      <c r="B1064" s="3">
        <v>29683</v>
      </c>
      <c r="C1064" s="3">
        <v>29530</v>
      </c>
      <c r="D1064" s="3">
        <v>29685</v>
      </c>
      <c r="E1064" s="3">
        <v>29530</v>
      </c>
      <c r="F1064" s="3">
        <v>30</v>
      </c>
      <c r="G1064" s="7">
        <f t="shared" si="152"/>
        <v>1</v>
      </c>
      <c r="H1064" s="5">
        <f t="shared" si="147"/>
        <v>6.3398426905343095E-3</v>
      </c>
      <c r="I1064" s="4">
        <f t="shared" si="148"/>
        <v>2.5462570022067562E-3</v>
      </c>
      <c r="J1064" s="4">
        <f t="shared" si="149"/>
        <v>6.1006609049313676E-3</v>
      </c>
      <c r="K1064" s="4">
        <f t="shared" si="150"/>
        <v>6.3043107854830463E-3</v>
      </c>
      <c r="L1064" s="4">
        <f t="shared" si="151"/>
        <v>0</v>
      </c>
      <c r="M1064" s="3">
        <f t="shared" si="144"/>
        <v>11</v>
      </c>
      <c r="N1064" s="3">
        <f t="shared" si="145"/>
        <v>24</v>
      </c>
      <c r="O1064" s="3">
        <f t="shared" si="146"/>
        <v>5</v>
      </c>
    </row>
    <row r="1065" spans="1:15" x14ac:dyDescent="0.2">
      <c r="A1065" s="2">
        <v>45257</v>
      </c>
      <c r="B1065" s="3">
        <v>29599</v>
      </c>
      <c r="C1065" s="3">
        <v>29540</v>
      </c>
      <c r="D1065" s="3">
        <v>29680</v>
      </c>
      <c r="E1065" s="3">
        <v>29540</v>
      </c>
      <c r="F1065" s="3">
        <v>10</v>
      </c>
      <c r="G1065" s="7">
        <f t="shared" si="152"/>
        <v>0</v>
      </c>
      <c r="H1065" s="5">
        <f t="shared" si="147"/>
        <v>-2.8299026378735305E-3</v>
      </c>
      <c r="I1065" s="4">
        <f t="shared" si="148"/>
        <v>3.3863867253640368E-4</v>
      </c>
      <c r="J1065" s="4">
        <f t="shared" si="149"/>
        <v>-1.6843523665150751E-4</v>
      </c>
      <c r="K1065" s="4">
        <f t="shared" si="150"/>
        <v>3.3863867253640368E-4</v>
      </c>
      <c r="L1065" s="4">
        <f t="shared" si="151"/>
        <v>-0.66666666666666663</v>
      </c>
      <c r="M1065" s="3">
        <f t="shared" si="144"/>
        <v>11</v>
      </c>
      <c r="N1065" s="3">
        <f t="shared" si="145"/>
        <v>27</v>
      </c>
      <c r="O1065" s="3">
        <f t="shared" si="146"/>
        <v>1</v>
      </c>
    </row>
    <row r="1066" spans="1:15" x14ac:dyDescent="0.2">
      <c r="A1066" s="2">
        <v>45258</v>
      </c>
      <c r="B1066" s="3">
        <v>29616</v>
      </c>
      <c r="C1066" s="3">
        <v>29495</v>
      </c>
      <c r="D1066" s="3">
        <v>29605</v>
      </c>
      <c r="E1066" s="3">
        <v>29485</v>
      </c>
      <c r="F1066" s="3">
        <v>10</v>
      </c>
      <c r="G1066" s="7">
        <f t="shared" si="152"/>
        <v>1</v>
      </c>
      <c r="H1066" s="5">
        <f t="shared" si="147"/>
        <v>5.7434372782864289E-4</v>
      </c>
      <c r="I1066" s="4">
        <f t="shared" si="148"/>
        <v>-1.5233581584292485E-3</v>
      </c>
      <c r="J1066" s="4">
        <f t="shared" si="149"/>
        <v>-2.5269541778975739E-3</v>
      </c>
      <c r="K1066" s="4">
        <f t="shared" si="150"/>
        <v>-1.8618821936357481E-3</v>
      </c>
      <c r="L1066" s="4">
        <f t="shared" si="151"/>
        <v>0</v>
      </c>
      <c r="M1066" s="3">
        <f t="shared" si="144"/>
        <v>11</v>
      </c>
      <c r="N1066" s="3">
        <f t="shared" si="145"/>
        <v>28</v>
      </c>
      <c r="O1066" s="3">
        <f t="shared" si="146"/>
        <v>2</v>
      </c>
    </row>
    <row r="1067" spans="1:15" x14ac:dyDescent="0.2">
      <c r="A1067" s="2">
        <v>45259</v>
      </c>
      <c r="B1067" s="3">
        <v>29915</v>
      </c>
      <c r="C1067" s="3">
        <v>29740</v>
      </c>
      <c r="D1067" s="3">
        <v>29960</v>
      </c>
      <c r="E1067" s="3">
        <v>29740</v>
      </c>
      <c r="F1067" s="3">
        <v>50</v>
      </c>
      <c r="G1067" s="7">
        <f t="shared" si="152"/>
        <v>1</v>
      </c>
      <c r="H1067" s="5">
        <f t="shared" si="147"/>
        <v>1.0095894111291194E-2</v>
      </c>
      <c r="I1067" s="4">
        <f t="shared" si="148"/>
        <v>8.3064926258687912E-3</v>
      </c>
      <c r="J1067" s="4">
        <f t="shared" si="149"/>
        <v>1.1991217699712887E-2</v>
      </c>
      <c r="K1067" s="4">
        <f t="shared" si="150"/>
        <v>8.6484653213498384E-3</v>
      </c>
      <c r="L1067" s="4">
        <f t="shared" si="151"/>
        <v>4</v>
      </c>
      <c r="M1067" s="3">
        <f t="shared" si="144"/>
        <v>11</v>
      </c>
      <c r="N1067" s="3">
        <f t="shared" si="145"/>
        <v>29</v>
      </c>
      <c r="O1067" s="3">
        <f t="shared" si="146"/>
        <v>3</v>
      </c>
    </row>
    <row r="1068" spans="1:15" x14ac:dyDescent="0.2">
      <c r="A1068" s="2">
        <v>45260</v>
      </c>
      <c r="B1068" s="3">
        <v>29978</v>
      </c>
      <c r="C1068" s="3">
        <v>29990</v>
      </c>
      <c r="D1068" s="3">
        <v>30095</v>
      </c>
      <c r="E1068" s="3">
        <v>29960</v>
      </c>
      <c r="F1068" s="3">
        <v>1570</v>
      </c>
      <c r="G1068" s="7">
        <f t="shared" si="152"/>
        <v>1</v>
      </c>
      <c r="H1068" s="5">
        <f t="shared" si="147"/>
        <v>2.1059669062343305E-3</v>
      </c>
      <c r="I1068" s="4">
        <f t="shared" si="148"/>
        <v>8.4061869535978478E-3</v>
      </c>
      <c r="J1068" s="4">
        <f t="shared" si="149"/>
        <v>4.5060080106809081E-3</v>
      </c>
      <c r="K1068" s="4">
        <f t="shared" si="150"/>
        <v>7.3974445191661064E-3</v>
      </c>
      <c r="L1068" s="4">
        <f t="shared" si="151"/>
        <v>30.4</v>
      </c>
      <c r="M1068" s="3">
        <f t="shared" si="144"/>
        <v>11</v>
      </c>
      <c r="N1068" s="3">
        <f t="shared" si="145"/>
        <v>30</v>
      </c>
      <c r="O1068" s="3">
        <f t="shared" si="146"/>
        <v>4</v>
      </c>
    </row>
    <row r="1069" spans="1:15" x14ac:dyDescent="0.2">
      <c r="A1069" s="2">
        <v>45261</v>
      </c>
      <c r="B1069" s="3">
        <v>30153</v>
      </c>
      <c r="C1069" s="3">
        <v>29950</v>
      </c>
      <c r="D1069" s="3">
        <v>30225</v>
      </c>
      <c r="E1069" s="3">
        <v>29950</v>
      </c>
      <c r="F1069" s="3">
        <v>80</v>
      </c>
      <c r="G1069" s="7">
        <f t="shared" si="152"/>
        <v>1</v>
      </c>
      <c r="H1069" s="5">
        <f t="shared" si="147"/>
        <v>5.8376142504503303E-3</v>
      </c>
      <c r="I1069" s="4">
        <f t="shared" si="148"/>
        <v>-1.333777925975325E-3</v>
      </c>
      <c r="J1069" s="4">
        <f t="shared" si="149"/>
        <v>4.3196544276457886E-3</v>
      </c>
      <c r="K1069" s="4">
        <f t="shared" si="150"/>
        <v>-3.3377837116154872E-4</v>
      </c>
      <c r="L1069" s="4">
        <f t="shared" si="151"/>
        <v>-0.94904458598726116</v>
      </c>
      <c r="M1069" s="3">
        <f t="shared" si="144"/>
        <v>12</v>
      </c>
      <c r="N1069" s="3">
        <f t="shared" si="145"/>
        <v>1</v>
      </c>
      <c r="O1069" s="3">
        <f t="shared" si="146"/>
        <v>5</v>
      </c>
    </row>
    <row r="1070" spans="1:15" x14ac:dyDescent="0.2">
      <c r="A1070" s="2">
        <v>45264</v>
      </c>
      <c r="B1070" s="3">
        <v>30168</v>
      </c>
      <c r="C1070" s="3">
        <v>30165</v>
      </c>
      <c r="D1070" s="3">
        <v>30210</v>
      </c>
      <c r="E1070" s="3">
        <v>30070</v>
      </c>
      <c r="F1070" s="3">
        <v>2200</v>
      </c>
      <c r="G1070" s="7">
        <f t="shared" si="152"/>
        <v>1</v>
      </c>
      <c r="H1070" s="5">
        <f t="shared" si="147"/>
        <v>4.9746293901104367E-4</v>
      </c>
      <c r="I1070" s="4">
        <f t="shared" si="148"/>
        <v>7.1786310517529218E-3</v>
      </c>
      <c r="J1070" s="4">
        <f t="shared" si="149"/>
        <v>-4.9627791563275434E-4</v>
      </c>
      <c r="K1070" s="4">
        <f t="shared" si="150"/>
        <v>4.0066777963272118E-3</v>
      </c>
      <c r="L1070" s="4">
        <f t="shared" si="151"/>
        <v>26.5</v>
      </c>
      <c r="M1070" s="3">
        <f t="shared" si="144"/>
        <v>12</v>
      </c>
      <c r="N1070" s="3">
        <f t="shared" si="145"/>
        <v>4</v>
      </c>
      <c r="O1070" s="3">
        <f t="shared" si="146"/>
        <v>1</v>
      </c>
    </row>
    <row r="1071" spans="1:15" x14ac:dyDescent="0.2">
      <c r="A1071" s="2">
        <v>45265</v>
      </c>
      <c r="B1071" s="3">
        <v>30324</v>
      </c>
      <c r="C1071" s="3">
        <v>30130</v>
      </c>
      <c r="D1071" s="3">
        <v>30350</v>
      </c>
      <c r="E1071" s="3">
        <v>30105</v>
      </c>
      <c r="F1071" s="3">
        <v>190</v>
      </c>
      <c r="G1071" s="7">
        <f t="shared" si="152"/>
        <v>1</v>
      </c>
      <c r="H1071" s="5">
        <f t="shared" si="147"/>
        <v>5.1710421638822592E-3</v>
      </c>
      <c r="I1071" s="4">
        <f t="shared" si="148"/>
        <v>-1.1602850986242334E-3</v>
      </c>
      <c r="J1071" s="4">
        <f t="shared" si="149"/>
        <v>4.6342270771267792E-3</v>
      </c>
      <c r="K1071" s="4">
        <f t="shared" si="150"/>
        <v>1.1639507815098104E-3</v>
      </c>
      <c r="L1071" s="4">
        <f t="shared" si="151"/>
        <v>-0.91363636363636369</v>
      </c>
      <c r="M1071" s="3">
        <f t="shared" si="144"/>
        <v>12</v>
      </c>
      <c r="N1071" s="3">
        <f t="shared" si="145"/>
        <v>5</v>
      </c>
      <c r="O1071" s="3">
        <f t="shared" si="146"/>
        <v>2</v>
      </c>
    </row>
    <row r="1072" spans="1:15" x14ac:dyDescent="0.2">
      <c r="A1072" s="2">
        <v>45266</v>
      </c>
      <c r="B1072" s="3">
        <v>30566</v>
      </c>
      <c r="C1072" s="3">
        <v>30420</v>
      </c>
      <c r="D1072" s="3">
        <v>30695</v>
      </c>
      <c r="E1072" s="3">
        <v>30400</v>
      </c>
      <c r="F1072" s="3">
        <v>220</v>
      </c>
      <c r="G1072" s="7">
        <f t="shared" si="152"/>
        <v>1</v>
      </c>
      <c r="H1072" s="5">
        <f t="shared" si="147"/>
        <v>7.9804775095633825E-3</v>
      </c>
      <c r="I1072" s="4">
        <f t="shared" si="148"/>
        <v>9.6249585131098579E-3</v>
      </c>
      <c r="J1072" s="4">
        <f t="shared" si="149"/>
        <v>1.1367380560131795E-2</v>
      </c>
      <c r="K1072" s="4">
        <f t="shared" si="150"/>
        <v>9.7990367048663013E-3</v>
      </c>
      <c r="L1072" s="4">
        <f t="shared" si="151"/>
        <v>0.15789473684210525</v>
      </c>
      <c r="M1072" s="3">
        <f t="shared" si="144"/>
        <v>12</v>
      </c>
      <c r="N1072" s="3">
        <f t="shared" si="145"/>
        <v>6</v>
      </c>
      <c r="O1072" s="3">
        <f t="shared" si="146"/>
        <v>3</v>
      </c>
    </row>
    <row r="1073" spans="1:15" x14ac:dyDescent="0.2">
      <c r="A1073" s="2">
        <v>45267</v>
      </c>
      <c r="B1073" s="3">
        <v>30356</v>
      </c>
      <c r="C1073" s="3">
        <v>30450</v>
      </c>
      <c r="D1073" s="3">
        <v>30560</v>
      </c>
      <c r="E1073" s="3">
        <v>30270</v>
      </c>
      <c r="F1073" s="3">
        <v>2630</v>
      </c>
      <c r="G1073" s="7">
        <f t="shared" si="152"/>
        <v>0</v>
      </c>
      <c r="H1073" s="5">
        <f t="shared" si="147"/>
        <v>-6.8703788523195707E-3</v>
      </c>
      <c r="I1073" s="4">
        <f t="shared" si="148"/>
        <v>9.8619329388560163E-4</v>
      </c>
      <c r="J1073" s="4">
        <f t="shared" si="149"/>
        <v>-4.3981104414399742E-3</v>
      </c>
      <c r="K1073" s="4">
        <f t="shared" si="150"/>
        <v>-4.2763157894736845E-3</v>
      </c>
      <c r="L1073" s="4">
        <f t="shared" si="151"/>
        <v>10.954545454545455</v>
      </c>
      <c r="M1073" s="3">
        <f t="shared" si="144"/>
        <v>12</v>
      </c>
      <c r="N1073" s="3">
        <f t="shared" si="145"/>
        <v>7</v>
      </c>
      <c r="O1073" s="3">
        <f t="shared" si="146"/>
        <v>4</v>
      </c>
    </row>
    <row r="1074" spans="1:15" x14ac:dyDescent="0.2">
      <c r="A1074" s="2">
        <v>45268</v>
      </c>
      <c r="B1074" s="3">
        <v>30638</v>
      </c>
      <c r="C1074" s="3">
        <v>30360</v>
      </c>
      <c r="D1074" s="3">
        <v>30695</v>
      </c>
      <c r="E1074" s="3">
        <v>30290</v>
      </c>
      <c r="F1074" s="3">
        <v>10520</v>
      </c>
      <c r="G1074" s="7">
        <f t="shared" si="152"/>
        <v>1</v>
      </c>
      <c r="H1074" s="5">
        <f t="shared" si="147"/>
        <v>9.2897614969034131E-3</v>
      </c>
      <c r="I1074" s="4">
        <f t="shared" si="148"/>
        <v>-2.9556650246305421E-3</v>
      </c>
      <c r="J1074" s="4">
        <f t="shared" si="149"/>
        <v>4.4175392670157071E-3</v>
      </c>
      <c r="K1074" s="4">
        <f t="shared" si="150"/>
        <v>6.6072018500165175E-4</v>
      </c>
      <c r="L1074" s="4">
        <f t="shared" si="151"/>
        <v>3</v>
      </c>
      <c r="M1074" s="3">
        <f t="shared" si="144"/>
        <v>12</v>
      </c>
      <c r="N1074" s="3">
        <f t="shared" si="145"/>
        <v>8</v>
      </c>
      <c r="O1074" s="3">
        <f t="shared" si="146"/>
        <v>5</v>
      </c>
    </row>
    <row r="1075" spans="1:15" x14ac:dyDescent="0.2">
      <c r="A1075" s="2">
        <v>45271</v>
      </c>
      <c r="B1075" s="3">
        <v>30648</v>
      </c>
      <c r="C1075" s="3">
        <v>30655</v>
      </c>
      <c r="D1075" s="3">
        <v>30710</v>
      </c>
      <c r="E1075" s="3">
        <v>30535</v>
      </c>
      <c r="F1075" s="3">
        <v>28570</v>
      </c>
      <c r="G1075" s="7">
        <f t="shared" si="152"/>
        <v>1</v>
      </c>
      <c r="H1075" s="5">
        <f t="shared" si="147"/>
        <v>3.2639206214504866E-4</v>
      </c>
      <c r="I1075" s="4">
        <f t="shared" si="148"/>
        <v>9.7167325428194999E-3</v>
      </c>
      <c r="J1075" s="4">
        <f t="shared" si="149"/>
        <v>4.8867893793777485E-4</v>
      </c>
      <c r="K1075" s="4">
        <f t="shared" si="150"/>
        <v>8.0884780455595905E-3</v>
      </c>
      <c r="L1075" s="4">
        <f t="shared" si="151"/>
        <v>1.7157794676806084</v>
      </c>
      <c r="M1075" s="3">
        <f t="shared" si="144"/>
        <v>12</v>
      </c>
      <c r="N1075" s="3">
        <f t="shared" si="145"/>
        <v>11</v>
      </c>
      <c r="O1075" s="3">
        <f t="shared" si="146"/>
        <v>1</v>
      </c>
    </row>
    <row r="1076" spans="1:15" x14ac:dyDescent="0.2">
      <c r="A1076" s="2">
        <v>45272</v>
      </c>
      <c r="B1076" s="3">
        <v>30589</v>
      </c>
      <c r="C1076" s="3">
        <v>30745</v>
      </c>
      <c r="D1076" s="3">
        <v>30805</v>
      </c>
      <c r="E1076" s="3">
        <v>30550</v>
      </c>
      <c r="F1076" s="3">
        <v>34480</v>
      </c>
      <c r="G1076" s="7">
        <f t="shared" si="152"/>
        <v>0</v>
      </c>
      <c r="H1076" s="5">
        <f t="shared" si="147"/>
        <v>-1.9250848342469329E-3</v>
      </c>
      <c r="I1076" s="4">
        <f t="shared" si="148"/>
        <v>2.935899526993965E-3</v>
      </c>
      <c r="J1076" s="4">
        <f t="shared" si="149"/>
        <v>3.0934549006838164E-3</v>
      </c>
      <c r="K1076" s="4">
        <f t="shared" si="150"/>
        <v>4.9123956115932536E-4</v>
      </c>
      <c r="L1076" s="4">
        <f t="shared" si="151"/>
        <v>0.20686034301715087</v>
      </c>
      <c r="M1076" s="3">
        <f t="shared" si="144"/>
        <v>12</v>
      </c>
      <c r="N1076" s="3">
        <f t="shared" si="145"/>
        <v>12</v>
      </c>
      <c r="O1076" s="3">
        <f t="shared" si="146"/>
        <v>2</v>
      </c>
    </row>
    <row r="1077" spans="1:15" x14ac:dyDescent="0.2">
      <c r="A1077" s="2">
        <v>45273</v>
      </c>
      <c r="B1077" s="3">
        <v>30546</v>
      </c>
      <c r="C1077" s="3">
        <v>30590</v>
      </c>
      <c r="D1077" s="3">
        <v>30775</v>
      </c>
      <c r="E1077" s="3">
        <v>30465</v>
      </c>
      <c r="F1077" s="3">
        <v>27470</v>
      </c>
      <c r="G1077" s="7">
        <f t="shared" si="152"/>
        <v>0</v>
      </c>
      <c r="H1077" s="5">
        <f t="shared" si="147"/>
        <v>-1.4057340874170452E-3</v>
      </c>
      <c r="I1077" s="4">
        <f t="shared" si="148"/>
        <v>-5.0414701577492279E-3</v>
      </c>
      <c r="J1077" s="4">
        <f t="shared" si="149"/>
        <v>-9.7386787859113778E-4</v>
      </c>
      <c r="K1077" s="4">
        <f t="shared" si="150"/>
        <v>-2.7823240589198036E-3</v>
      </c>
      <c r="L1077" s="4">
        <f t="shared" si="151"/>
        <v>-0.2033062645011601</v>
      </c>
      <c r="M1077" s="3">
        <f t="shared" si="144"/>
        <v>12</v>
      </c>
      <c r="N1077" s="3">
        <f t="shared" si="145"/>
        <v>13</v>
      </c>
      <c r="O1077" s="3">
        <f t="shared" si="146"/>
        <v>3</v>
      </c>
    </row>
    <row r="1078" spans="1:15" x14ac:dyDescent="0.2">
      <c r="A1078" s="2">
        <v>45274</v>
      </c>
      <c r="B1078" s="3">
        <v>30606</v>
      </c>
      <c r="C1078" s="3">
        <v>30850</v>
      </c>
      <c r="D1078" s="3">
        <v>30880</v>
      </c>
      <c r="E1078" s="3">
        <v>30370</v>
      </c>
      <c r="F1078" s="3">
        <v>19780</v>
      </c>
      <c r="G1078" s="7">
        <f t="shared" si="152"/>
        <v>1</v>
      </c>
      <c r="H1078" s="5">
        <f t="shared" si="147"/>
        <v>1.9642506383814574E-3</v>
      </c>
      <c r="I1078" s="4">
        <f t="shared" si="148"/>
        <v>8.4995096436744026E-3</v>
      </c>
      <c r="J1078" s="4">
        <f t="shared" si="149"/>
        <v>3.4118602761982128E-3</v>
      </c>
      <c r="K1078" s="4">
        <f t="shared" si="150"/>
        <v>-3.1183325127195141E-3</v>
      </c>
      <c r="L1078" s="4">
        <f t="shared" si="151"/>
        <v>-0.27994175464142701</v>
      </c>
      <c r="M1078" s="3">
        <f t="shared" si="144"/>
        <v>12</v>
      </c>
      <c r="N1078" s="3">
        <f t="shared" si="145"/>
        <v>14</v>
      </c>
      <c r="O1078" s="3">
        <f t="shared" si="146"/>
        <v>4</v>
      </c>
    </row>
    <row r="1079" spans="1:15" x14ac:dyDescent="0.2">
      <c r="A1079" s="2">
        <v>45275</v>
      </c>
      <c r="B1079" s="3">
        <v>30598</v>
      </c>
      <c r="C1079" s="3">
        <v>30630</v>
      </c>
      <c r="D1079" s="3">
        <v>30820</v>
      </c>
      <c r="E1079" s="3">
        <v>30470</v>
      </c>
      <c r="F1079" s="3">
        <v>16940</v>
      </c>
      <c r="G1079" s="7">
        <f t="shared" si="152"/>
        <v>0</v>
      </c>
      <c r="H1079" s="5">
        <f t="shared" si="147"/>
        <v>-2.613866562112004E-4</v>
      </c>
      <c r="I1079" s="4">
        <f t="shared" si="148"/>
        <v>-7.1312803889789301E-3</v>
      </c>
      <c r="J1079" s="4">
        <f t="shared" si="149"/>
        <v>-1.9430051813471502E-3</v>
      </c>
      <c r="K1079" s="4">
        <f t="shared" si="150"/>
        <v>3.2927230819888046E-3</v>
      </c>
      <c r="L1079" s="4">
        <f t="shared" si="151"/>
        <v>-0.14357937310414559</v>
      </c>
      <c r="M1079" s="3">
        <f t="shared" si="144"/>
        <v>12</v>
      </c>
      <c r="N1079" s="3">
        <f t="shared" si="145"/>
        <v>15</v>
      </c>
      <c r="O1079" s="3">
        <f t="shared" si="146"/>
        <v>5</v>
      </c>
    </row>
    <row r="1080" spans="1:15" x14ac:dyDescent="0.2">
      <c r="A1080" s="2">
        <v>45278</v>
      </c>
      <c r="B1080" s="3">
        <v>29871</v>
      </c>
      <c r="C1080" s="3">
        <v>29930</v>
      </c>
      <c r="D1080" s="3">
        <v>29955</v>
      </c>
      <c r="E1080" s="3">
        <v>29920</v>
      </c>
      <c r="F1080" s="3">
        <v>10</v>
      </c>
      <c r="G1080" s="7">
        <f t="shared" si="152"/>
        <v>0</v>
      </c>
      <c r="H1080" s="5">
        <f t="shared" si="147"/>
        <v>-2.3759722857703117E-2</v>
      </c>
      <c r="I1080" s="4">
        <f t="shared" si="148"/>
        <v>-2.2853411687887692E-2</v>
      </c>
      <c r="J1080" s="4">
        <f t="shared" si="149"/>
        <v>-2.8066190785204413E-2</v>
      </c>
      <c r="K1080" s="4">
        <f t="shared" si="150"/>
        <v>-1.8050541516245487E-2</v>
      </c>
      <c r="L1080" s="4">
        <f t="shared" si="151"/>
        <v>-0.999409681227863</v>
      </c>
      <c r="M1080" s="3">
        <f t="shared" si="144"/>
        <v>12</v>
      </c>
      <c r="N1080" s="3">
        <f t="shared" si="145"/>
        <v>18</v>
      </c>
      <c r="O1080" s="3">
        <f t="shared" si="146"/>
        <v>1</v>
      </c>
    </row>
    <row r="1081" spans="1:15" x14ac:dyDescent="0.2">
      <c r="A1081" s="2">
        <v>45279</v>
      </c>
      <c r="B1081" s="3">
        <v>29989</v>
      </c>
      <c r="C1081" s="3">
        <v>29900</v>
      </c>
      <c r="D1081" s="3">
        <v>30060</v>
      </c>
      <c r="E1081" s="3">
        <v>29900</v>
      </c>
      <c r="F1081" s="3">
        <v>10</v>
      </c>
      <c r="G1081" s="7">
        <f t="shared" si="152"/>
        <v>1</v>
      </c>
      <c r="H1081" s="5">
        <f t="shared" si="147"/>
        <v>3.9503197080780691E-3</v>
      </c>
      <c r="I1081" s="4">
        <f t="shared" si="148"/>
        <v>-1.0023387905111927E-3</v>
      </c>
      <c r="J1081" s="4">
        <f t="shared" si="149"/>
        <v>3.5052578868302454E-3</v>
      </c>
      <c r="K1081" s="4">
        <f t="shared" si="150"/>
        <v>-6.6844919786096253E-4</v>
      </c>
      <c r="L1081" s="4">
        <f t="shared" si="151"/>
        <v>0</v>
      </c>
      <c r="M1081" s="3">
        <f t="shared" si="144"/>
        <v>12</v>
      </c>
      <c r="N1081" s="3">
        <f t="shared" si="145"/>
        <v>19</v>
      </c>
      <c r="O1081" s="3">
        <f t="shared" si="146"/>
        <v>2</v>
      </c>
    </row>
    <row r="1082" spans="1:15" x14ac:dyDescent="0.2">
      <c r="A1082" s="2">
        <v>45280</v>
      </c>
      <c r="B1082" s="3">
        <v>30000</v>
      </c>
      <c r="C1082" s="3">
        <v>29950</v>
      </c>
      <c r="D1082" s="3">
        <v>29950</v>
      </c>
      <c r="E1082" s="3">
        <v>29700</v>
      </c>
      <c r="F1082" s="3">
        <v>10</v>
      </c>
      <c r="G1082" s="7">
        <f t="shared" si="152"/>
        <v>1</v>
      </c>
      <c r="H1082" s="5">
        <f t="shared" si="147"/>
        <v>3.6680116042548934E-4</v>
      </c>
      <c r="I1082" s="4">
        <f t="shared" si="148"/>
        <v>1.6722408026755853E-3</v>
      </c>
      <c r="J1082" s="4">
        <f t="shared" si="149"/>
        <v>-3.6593479707252162E-3</v>
      </c>
      <c r="K1082" s="4">
        <f t="shared" si="150"/>
        <v>-6.688963210702341E-3</v>
      </c>
      <c r="L1082" s="4">
        <f t="shared" si="151"/>
        <v>0</v>
      </c>
      <c r="M1082" s="3">
        <f t="shared" si="144"/>
        <v>12</v>
      </c>
      <c r="N1082" s="3">
        <f t="shared" si="145"/>
        <v>20</v>
      </c>
      <c r="O1082" s="3">
        <f t="shared" si="146"/>
        <v>3</v>
      </c>
    </row>
    <row r="1083" spans="1:15" x14ac:dyDescent="0.2">
      <c r="A1083" s="2">
        <v>45281</v>
      </c>
      <c r="B1083" s="3">
        <v>29888</v>
      </c>
      <c r="C1083" s="3">
        <v>29800</v>
      </c>
      <c r="D1083" s="3">
        <v>29900</v>
      </c>
      <c r="E1083" s="3">
        <v>29800</v>
      </c>
      <c r="F1083" s="3">
        <v>20</v>
      </c>
      <c r="G1083" s="7">
        <f t="shared" si="152"/>
        <v>0</v>
      </c>
      <c r="H1083" s="5">
        <f t="shared" si="147"/>
        <v>-3.7333333333333333E-3</v>
      </c>
      <c r="I1083" s="4">
        <f t="shared" si="148"/>
        <v>-5.008347245409015E-3</v>
      </c>
      <c r="J1083" s="4">
        <f t="shared" si="149"/>
        <v>-1.6694490818030051E-3</v>
      </c>
      <c r="K1083" s="4">
        <f t="shared" si="150"/>
        <v>3.3670033670033669E-3</v>
      </c>
      <c r="L1083" s="4">
        <f t="shared" si="151"/>
        <v>1</v>
      </c>
      <c r="M1083" s="3">
        <f t="shared" si="144"/>
        <v>12</v>
      </c>
      <c r="N1083" s="3">
        <f t="shared" si="145"/>
        <v>21</v>
      </c>
      <c r="O1083" s="3">
        <f t="shared" si="146"/>
        <v>4</v>
      </c>
    </row>
    <row r="1084" spans="1:15" x14ac:dyDescent="0.2">
      <c r="A1084" s="2">
        <v>45282</v>
      </c>
      <c r="B1084" s="3">
        <v>29950</v>
      </c>
      <c r="C1084" s="3">
        <v>29865</v>
      </c>
      <c r="D1084" s="3">
        <v>29960</v>
      </c>
      <c r="E1084" s="3">
        <v>29865</v>
      </c>
      <c r="F1084" s="3">
        <v>10</v>
      </c>
      <c r="G1084" s="7">
        <f t="shared" si="152"/>
        <v>1</v>
      </c>
      <c r="H1084" s="5">
        <f t="shared" si="147"/>
        <v>2.0744111349036403E-3</v>
      </c>
      <c r="I1084" s="4">
        <f t="shared" si="148"/>
        <v>2.181208053691275E-3</v>
      </c>
      <c r="J1084" s="4">
        <f t="shared" si="149"/>
        <v>2.0066889632107021E-3</v>
      </c>
      <c r="K1084" s="4">
        <f t="shared" si="150"/>
        <v>2.181208053691275E-3</v>
      </c>
      <c r="L1084" s="4">
        <f t="shared" si="151"/>
        <v>-0.5</v>
      </c>
      <c r="M1084" s="3">
        <f t="shared" si="144"/>
        <v>12</v>
      </c>
      <c r="N1084" s="3">
        <f t="shared" si="145"/>
        <v>22</v>
      </c>
      <c r="O1084" s="3">
        <f t="shared" si="146"/>
        <v>5</v>
      </c>
    </row>
    <row r="1085" spans="1:15" x14ac:dyDescent="0.2">
      <c r="A1085" s="2">
        <v>45287</v>
      </c>
      <c r="B1085" s="3">
        <v>30024</v>
      </c>
      <c r="C1085" s="3">
        <v>30045</v>
      </c>
      <c r="D1085" s="3">
        <v>30045</v>
      </c>
      <c r="E1085" s="3">
        <v>30045</v>
      </c>
      <c r="F1085" s="3">
        <v>10</v>
      </c>
      <c r="G1085" s="7">
        <f t="shared" si="152"/>
        <v>1</v>
      </c>
      <c r="H1085" s="5">
        <f t="shared" si="147"/>
        <v>2.4707846410684472E-3</v>
      </c>
      <c r="I1085" s="4">
        <f t="shared" si="148"/>
        <v>6.0271220492214969E-3</v>
      </c>
      <c r="J1085" s="4">
        <f t="shared" si="149"/>
        <v>2.8371161548731644E-3</v>
      </c>
      <c r="K1085" s="4">
        <f t="shared" si="150"/>
        <v>6.0271220492214969E-3</v>
      </c>
      <c r="L1085" s="4">
        <f t="shared" si="151"/>
        <v>0</v>
      </c>
      <c r="M1085" s="3">
        <f t="shared" si="144"/>
        <v>12</v>
      </c>
      <c r="N1085" s="3">
        <f t="shared" si="145"/>
        <v>27</v>
      </c>
      <c r="O1085" s="3">
        <f t="shared" si="146"/>
        <v>3</v>
      </c>
    </row>
    <row r="1086" spans="1:15" x14ac:dyDescent="0.2">
      <c r="A1086" s="2">
        <v>45288</v>
      </c>
      <c r="B1086" s="3">
        <v>29922</v>
      </c>
      <c r="C1086" s="3">
        <v>29915</v>
      </c>
      <c r="D1086" s="3">
        <v>29960</v>
      </c>
      <c r="E1086" s="3">
        <v>29905</v>
      </c>
      <c r="F1086" s="3">
        <v>20</v>
      </c>
      <c r="G1086" s="7">
        <f t="shared" si="152"/>
        <v>0</v>
      </c>
      <c r="H1086" s="5">
        <f t="shared" si="147"/>
        <v>-3.3972821742605914E-3</v>
      </c>
      <c r="I1086" s="4">
        <f t="shared" si="148"/>
        <v>-4.326843068730238E-3</v>
      </c>
      <c r="J1086" s="4">
        <f t="shared" si="149"/>
        <v>-2.8290896987851555E-3</v>
      </c>
      <c r="K1086" s="4">
        <f t="shared" si="150"/>
        <v>-4.659677150940256E-3</v>
      </c>
      <c r="L1086" s="4">
        <f t="shared" si="151"/>
        <v>1</v>
      </c>
      <c r="M1086" s="3">
        <f t="shared" si="144"/>
        <v>12</v>
      </c>
      <c r="N1086" s="3">
        <f t="shared" si="145"/>
        <v>28</v>
      </c>
      <c r="O1086" s="3">
        <f t="shared" si="146"/>
        <v>4</v>
      </c>
    </row>
    <row r="1087" spans="1:15" x14ac:dyDescent="0.2">
      <c r="A1087" s="2">
        <v>45289</v>
      </c>
      <c r="B1087" s="3">
        <v>29944</v>
      </c>
      <c r="C1087" s="3">
        <v>30535</v>
      </c>
      <c r="D1087" s="3">
        <v>30645</v>
      </c>
      <c r="E1087" s="3">
        <v>30470</v>
      </c>
      <c r="F1087" s="3">
        <v>6950</v>
      </c>
      <c r="G1087" s="7">
        <f t="shared" si="152"/>
        <v>1</v>
      </c>
      <c r="H1087" s="5">
        <f t="shared" si="147"/>
        <v>7.3524497025599894E-4</v>
      </c>
      <c r="I1087" s="4">
        <f t="shared" si="148"/>
        <v>2.072538860103627E-2</v>
      </c>
      <c r="J1087" s="4">
        <f t="shared" si="149"/>
        <v>2.2863818424566088E-2</v>
      </c>
      <c r="K1087" s="4">
        <f t="shared" si="150"/>
        <v>1.8893161678649056E-2</v>
      </c>
      <c r="L1087" s="4">
        <f t="shared" si="151"/>
        <v>346.5</v>
      </c>
      <c r="M1087" s="3">
        <f t="shared" si="144"/>
        <v>12</v>
      </c>
      <c r="N1087" s="3">
        <f t="shared" si="145"/>
        <v>29</v>
      </c>
      <c r="O1087" s="3">
        <f t="shared" si="146"/>
        <v>5</v>
      </c>
    </row>
    <row r="1088" spans="1:15" x14ac:dyDescent="0.2">
      <c r="A1088" s="2">
        <v>45293</v>
      </c>
      <c r="B1088" s="3">
        <v>30087</v>
      </c>
      <c r="C1088" s="3">
        <v>30310</v>
      </c>
      <c r="D1088" s="3">
        <v>30370</v>
      </c>
      <c r="E1088" s="3">
        <v>29805</v>
      </c>
      <c r="F1088" s="3">
        <v>20</v>
      </c>
      <c r="G1088" s="7">
        <f t="shared" si="152"/>
        <v>1</v>
      </c>
      <c r="H1088" s="5">
        <f t="shared" si="147"/>
        <v>4.7755810846914241E-3</v>
      </c>
      <c r="I1088" s="4">
        <f t="shared" si="148"/>
        <v>-7.3685934173898801E-3</v>
      </c>
      <c r="J1088" s="4">
        <f t="shared" si="149"/>
        <v>-8.9737314406917925E-3</v>
      </c>
      <c r="K1088" s="4">
        <f t="shared" si="150"/>
        <v>-2.1824745651460455E-2</v>
      </c>
      <c r="L1088" s="4">
        <f t="shared" si="151"/>
        <v>-0.99712230215827335</v>
      </c>
      <c r="M1088" s="3">
        <f t="shared" si="144"/>
        <v>1</v>
      </c>
      <c r="N1088" s="3">
        <f t="shared" si="145"/>
        <v>2</v>
      </c>
      <c r="O1088" s="3">
        <f t="shared" si="146"/>
        <v>2</v>
      </c>
    </row>
    <row r="1089" spans="1:15" x14ac:dyDescent="0.2">
      <c r="A1089" s="2">
        <v>45294</v>
      </c>
      <c r="B1089" s="3">
        <v>29659</v>
      </c>
      <c r="C1089" s="3">
        <v>30035</v>
      </c>
      <c r="D1089" s="3">
        <v>30035</v>
      </c>
      <c r="E1089" s="3">
        <v>29700</v>
      </c>
      <c r="F1089" s="3">
        <v>10</v>
      </c>
      <c r="G1089" s="7">
        <f t="shared" si="152"/>
        <v>0</v>
      </c>
      <c r="H1089" s="5">
        <f t="shared" si="147"/>
        <v>-1.4225412969056403E-2</v>
      </c>
      <c r="I1089" s="4">
        <f t="shared" si="148"/>
        <v>-9.0729132299571091E-3</v>
      </c>
      <c r="J1089" s="4">
        <f t="shared" si="149"/>
        <v>-1.1030622324662495E-2</v>
      </c>
      <c r="K1089" s="4">
        <f t="shared" si="150"/>
        <v>-3.5228988424760945E-3</v>
      </c>
      <c r="L1089" s="4">
        <f t="shared" si="151"/>
        <v>-0.5</v>
      </c>
      <c r="M1089" s="3">
        <f t="shared" si="144"/>
        <v>1</v>
      </c>
      <c r="N1089" s="3">
        <f t="shared" si="145"/>
        <v>3</v>
      </c>
      <c r="O1089" s="3">
        <f t="shared" si="146"/>
        <v>3</v>
      </c>
    </row>
    <row r="1090" spans="1:15" x14ac:dyDescent="0.2">
      <c r="A1090" s="2">
        <v>45295</v>
      </c>
      <c r="B1090" s="3">
        <v>29950</v>
      </c>
      <c r="C1090" s="3">
        <v>29940</v>
      </c>
      <c r="D1090" s="3">
        <v>29940</v>
      </c>
      <c r="E1090" s="3">
        <v>29905</v>
      </c>
      <c r="F1090" s="3">
        <v>10</v>
      </c>
      <c r="G1090" s="7">
        <f t="shared" si="152"/>
        <v>1</v>
      </c>
      <c r="H1090" s="5">
        <f t="shared" si="147"/>
        <v>9.811524326511346E-3</v>
      </c>
      <c r="I1090" s="4">
        <f t="shared" si="148"/>
        <v>-3.162976527384718E-3</v>
      </c>
      <c r="J1090" s="4">
        <f t="shared" si="149"/>
        <v>-3.162976527384718E-3</v>
      </c>
      <c r="K1090" s="4">
        <f t="shared" si="150"/>
        <v>6.902356902356902E-3</v>
      </c>
      <c r="L1090" s="4">
        <f t="shared" si="151"/>
        <v>0</v>
      </c>
      <c r="M1090" s="3">
        <f t="shared" ref="M1090:M1153" si="153">MONTH(A1090)</f>
        <v>1</v>
      </c>
      <c r="N1090" s="3">
        <f t="shared" ref="N1090:N1153" si="154">DAY(A1090)</f>
        <v>4</v>
      </c>
      <c r="O1090" s="3">
        <f t="shared" ref="O1090:O1153" si="155">WEEKDAY(A1090,2)</f>
        <v>4</v>
      </c>
    </row>
    <row r="1091" spans="1:15" x14ac:dyDescent="0.2">
      <c r="A1091" s="2">
        <v>45296</v>
      </c>
      <c r="B1091" s="3">
        <v>29986</v>
      </c>
      <c r="C1091" s="3">
        <v>29790</v>
      </c>
      <c r="D1091" s="3">
        <v>30045</v>
      </c>
      <c r="E1091" s="3">
        <v>29790</v>
      </c>
      <c r="F1091" s="3">
        <v>10</v>
      </c>
      <c r="G1091" s="7">
        <f t="shared" si="152"/>
        <v>1</v>
      </c>
      <c r="H1091" s="5">
        <f t="shared" ref="H1091:H1154" si="156">(B1091-B1090)/B1090</f>
        <v>1.2020033388981635E-3</v>
      </c>
      <c r="I1091" s="4">
        <f t="shared" ref="I1091:I1154" si="157">(C1091-C1090)/C1090</f>
        <v>-5.0100200400801601E-3</v>
      </c>
      <c r="J1091" s="4">
        <f t="shared" ref="J1091:J1154" si="158">(D1091-D1090)/D1090</f>
        <v>3.5070140280561123E-3</v>
      </c>
      <c r="K1091" s="4">
        <f t="shared" ref="K1091:K1154" si="159">(E1091-E1090)/E1090</f>
        <v>-3.8455107841498079E-3</v>
      </c>
      <c r="L1091" s="4">
        <f t="shared" ref="L1091:L1154" si="160">(F1091-F1090)/F1090</f>
        <v>0</v>
      </c>
      <c r="M1091" s="3">
        <f t="shared" si="153"/>
        <v>1</v>
      </c>
      <c r="N1091" s="3">
        <f t="shared" si="154"/>
        <v>5</v>
      </c>
      <c r="O1091" s="3">
        <f t="shared" si="155"/>
        <v>5</v>
      </c>
    </row>
    <row r="1092" spans="1:15" x14ac:dyDescent="0.2">
      <c r="A1092" s="2">
        <v>45299</v>
      </c>
      <c r="B1092" s="3">
        <v>30124</v>
      </c>
      <c r="C1092" s="3">
        <v>29980</v>
      </c>
      <c r="D1092" s="3">
        <v>30265</v>
      </c>
      <c r="E1092" s="3">
        <v>29790</v>
      </c>
      <c r="F1092" s="3">
        <v>20</v>
      </c>
      <c r="G1092" s="7">
        <f t="shared" ref="G1092:G1155" si="161">IF(H1092&lt;0, 0, 1)</f>
        <v>1</v>
      </c>
      <c r="H1092" s="5">
        <f t="shared" si="156"/>
        <v>4.6021476689121592E-3</v>
      </c>
      <c r="I1092" s="4">
        <f t="shared" si="157"/>
        <v>6.3779791876468614E-3</v>
      </c>
      <c r="J1092" s="4">
        <f t="shared" si="158"/>
        <v>7.322349808620403E-3</v>
      </c>
      <c r="K1092" s="4">
        <f t="shared" si="159"/>
        <v>0</v>
      </c>
      <c r="L1092" s="4">
        <f t="shared" si="160"/>
        <v>1</v>
      </c>
      <c r="M1092" s="3">
        <f t="shared" si="153"/>
        <v>1</v>
      </c>
      <c r="N1092" s="3">
        <f t="shared" si="154"/>
        <v>8</v>
      </c>
      <c r="O1092" s="3">
        <f t="shared" si="155"/>
        <v>1</v>
      </c>
    </row>
    <row r="1093" spans="1:15" x14ac:dyDescent="0.2">
      <c r="A1093" s="2">
        <v>45300</v>
      </c>
      <c r="B1093" s="3">
        <v>29966</v>
      </c>
      <c r="C1093" s="3">
        <v>30205</v>
      </c>
      <c r="D1093" s="3">
        <v>30205</v>
      </c>
      <c r="E1093" s="3">
        <v>29900</v>
      </c>
      <c r="F1093" s="3">
        <v>50</v>
      </c>
      <c r="G1093" s="7">
        <f t="shared" si="161"/>
        <v>0</v>
      </c>
      <c r="H1093" s="5">
        <f t="shared" si="156"/>
        <v>-5.2449873854733767E-3</v>
      </c>
      <c r="I1093" s="4">
        <f t="shared" si="157"/>
        <v>7.5050033355570384E-3</v>
      </c>
      <c r="J1093" s="4">
        <f t="shared" si="158"/>
        <v>-1.9824880224681976E-3</v>
      </c>
      <c r="K1093" s="4">
        <f t="shared" si="159"/>
        <v>3.6925142665323934E-3</v>
      </c>
      <c r="L1093" s="4">
        <f t="shared" si="160"/>
        <v>1.5</v>
      </c>
      <c r="M1093" s="3">
        <f t="shared" si="153"/>
        <v>1</v>
      </c>
      <c r="N1093" s="3">
        <f t="shared" si="154"/>
        <v>9</v>
      </c>
      <c r="O1093" s="3">
        <f t="shared" si="155"/>
        <v>2</v>
      </c>
    </row>
    <row r="1094" spans="1:15" x14ac:dyDescent="0.2">
      <c r="A1094" s="2">
        <v>45301</v>
      </c>
      <c r="B1094" s="3">
        <v>29990</v>
      </c>
      <c r="C1094" s="3">
        <v>30000</v>
      </c>
      <c r="D1094" s="3">
        <v>30085</v>
      </c>
      <c r="E1094" s="3">
        <v>29925</v>
      </c>
      <c r="F1094" s="3">
        <v>20</v>
      </c>
      <c r="G1094" s="7">
        <f t="shared" si="161"/>
        <v>1</v>
      </c>
      <c r="H1094" s="5">
        <f t="shared" si="156"/>
        <v>8.0090769538810648E-4</v>
      </c>
      <c r="I1094" s="4">
        <f t="shared" si="157"/>
        <v>-6.7869558020195331E-3</v>
      </c>
      <c r="J1094" s="4">
        <f t="shared" si="158"/>
        <v>-3.9728521767919221E-3</v>
      </c>
      <c r="K1094" s="4">
        <f t="shared" si="159"/>
        <v>8.3612040133779263E-4</v>
      </c>
      <c r="L1094" s="4">
        <f t="shared" si="160"/>
        <v>-0.6</v>
      </c>
      <c r="M1094" s="3">
        <f t="shared" si="153"/>
        <v>1</v>
      </c>
      <c r="N1094" s="3">
        <f t="shared" si="154"/>
        <v>10</v>
      </c>
      <c r="O1094" s="3">
        <f t="shared" si="155"/>
        <v>3</v>
      </c>
    </row>
    <row r="1095" spans="1:15" x14ac:dyDescent="0.2">
      <c r="A1095" s="2">
        <v>45302</v>
      </c>
      <c r="B1095" s="3">
        <v>29779</v>
      </c>
      <c r="C1095" s="3">
        <v>30170</v>
      </c>
      <c r="D1095" s="3">
        <v>30220</v>
      </c>
      <c r="E1095" s="3">
        <v>29850</v>
      </c>
      <c r="F1095" s="3">
        <v>30</v>
      </c>
      <c r="G1095" s="7">
        <f t="shared" si="161"/>
        <v>0</v>
      </c>
      <c r="H1095" s="5">
        <f t="shared" si="156"/>
        <v>-7.0356785595198403E-3</v>
      </c>
      <c r="I1095" s="4">
        <f t="shared" si="157"/>
        <v>5.6666666666666671E-3</v>
      </c>
      <c r="J1095" s="4">
        <f t="shared" si="158"/>
        <v>4.4872860229350177E-3</v>
      </c>
      <c r="K1095" s="4">
        <f t="shared" si="159"/>
        <v>-2.5062656641604009E-3</v>
      </c>
      <c r="L1095" s="4">
        <f t="shared" si="160"/>
        <v>0.5</v>
      </c>
      <c r="M1095" s="3">
        <f t="shared" si="153"/>
        <v>1</v>
      </c>
      <c r="N1095" s="3">
        <f t="shared" si="154"/>
        <v>11</v>
      </c>
      <c r="O1095" s="3">
        <f t="shared" si="155"/>
        <v>4</v>
      </c>
    </row>
    <row r="1096" spans="1:15" x14ac:dyDescent="0.2">
      <c r="A1096" s="2">
        <v>45303</v>
      </c>
      <c r="B1096" s="3">
        <v>29980</v>
      </c>
      <c r="C1096" s="3">
        <v>29940</v>
      </c>
      <c r="D1096" s="3">
        <v>30080</v>
      </c>
      <c r="E1096" s="3">
        <v>29900</v>
      </c>
      <c r="F1096" s="3">
        <v>30</v>
      </c>
      <c r="G1096" s="7">
        <f t="shared" si="161"/>
        <v>1</v>
      </c>
      <c r="H1096" s="5">
        <f t="shared" si="156"/>
        <v>6.7497229591322741E-3</v>
      </c>
      <c r="I1096" s="4">
        <f t="shared" si="157"/>
        <v>-7.6234670202187608E-3</v>
      </c>
      <c r="J1096" s="4">
        <f t="shared" si="158"/>
        <v>-4.6326935804103242E-3</v>
      </c>
      <c r="K1096" s="4">
        <f t="shared" si="159"/>
        <v>1.6750418760469012E-3</v>
      </c>
      <c r="L1096" s="4">
        <f t="shared" si="160"/>
        <v>0</v>
      </c>
      <c r="M1096" s="3">
        <f t="shared" si="153"/>
        <v>1</v>
      </c>
      <c r="N1096" s="3">
        <f t="shared" si="154"/>
        <v>12</v>
      </c>
      <c r="O1096" s="3">
        <f t="shared" si="155"/>
        <v>5</v>
      </c>
    </row>
    <row r="1097" spans="1:15" x14ac:dyDescent="0.2">
      <c r="A1097" s="2">
        <v>45306</v>
      </c>
      <c r="B1097" s="3">
        <v>29847</v>
      </c>
      <c r="C1097" s="3">
        <v>30100</v>
      </c>
      <c r="D1097" s="3">
        <v>30120</v>
      </c>
      <c r="E1097" s="3">
        <v>29850</v>
      </c>
      <c r="F1097" s="3">
        <v>20</v>
      </c>
      <c r="G1097" s="7">
        <f t="shared" si="161"/>
        <v>0</v>
      </c>
      <c r="H1097" s="5">
        <f t="shared" si="156"/>
        <v>-4.4362908605737154E-3</v>
      </c>
      <c r="I1097" s="4">
        <f t="shared" si="157"/>
        <v>5.3440213760855048E-3</v>
      </c>
      <c r="J1097" s="4">
        <f t="shared" si="158"/>
        <v>1.3297872340425532E-3</v>
      </c>
      <c r="K1097" s="4">
        <f t="shared" si="159"/>
        <v>-1.6722408026755853E-3</v>
      </c>
      <c r="L1097" s="4">
        <f t="shared" si="160"/>
        <v>-0.33333333333333331</v>
      </c>
      <c r="M1097" s="3">
        <f t="shared" si="153"/>
        <v>1</v>
      </c>
      <c r="N1097" s="3">
        <f t="shared" si="154"/>
        <v>15</v>
      </c>
      <c r="O1097" s="3">
        <f t="shared" si="155"/>
        <v>1</v>
      </c>
    </row>
    <row r="1098" spans="1:15" x14ac:dyDescent="0.2">
      <c r="A1098" s="2">
        <v>45307</v>
      </c>
      <c r="B1098" s="3">
        <v>29836</v>
      </c>
      <c r="C1098" s="3">
        <v>29710</v>
      </c>
      <c r="D1098" s="3">
        <v>29815</v>
      </c>
      <c r="E1098" s="3">
        <v>29620</v>
      </c>
      <c r="F1098" s="3">
        <v>20</v>
      </c>
      <c r="G1098" s="7">
        <f t="shared" si="161"/>
        <v>0</v>
      </c>
      <c r="H1098" s="5">
        <f t="shared" si="156"/>
        <v>-3.6854625255469561E-4</v>
      </c>
      <c r="I1098" s="4">
        <f t="shared" si="157"/>
        <v>-1.2956810631229236E-2</v>
      </c>
      <c r="J1098" s="4">
        <f t="shared" si="158"/>
        <v>-1.0126162018592297E-2</v>
      </c>
      <c r="K1098" s="4">
        <f t="shared" si="159"/>
        <v>-7.7051926298157452E-3</v>
      </c>
      <c r="L1098" s="4">
        <f t="shared" si="160"/>
        <v>0</v>
      </c>
      <c r="M1098" s="3">
        <f t="shared" si="153"/>
        <v>1</v>
      </c>
      <c r="N1098" s="3">
        <f t="shared" si="154"/>
        <v>16</v>
      </c>
      <c r="O1098" s="3">
        <f t="shared" si="155"/>
        <v>2</v>
      </c>
    </row>
    <row r="1099" spans="1:15" x14ac:dyDescent="0.2">
      <c r="A1099" s="2">
        <v>45308</v>
      </c>
      <c r="B1099" s="3">
        <v>29593</v>
      </c>
      <c r="C1099" s="3">
        <v>29590</v>
      </c>
      <c r="D1099" s="3">
        <v>29655</v>
      </c>
      <c r="E1099" s="3">
        <v>29480</v>
      </c>
      <c r="F1099" s="3">
        <v>20</v>
      </c>
      <c r="G1099" s="7">
        <f t="shared" si="161"/>
        <v>0</v>
      </c>
      <c r="H1099" s="5">
        <f t="shared" si="156"/>
        <v>-8.1445233945569104E-3</v>
      </c>
      <c r="I1099" s="4">
        <f t="shared" si="157"/>
        <v>-4.0390440928980142E-3</v>
      </c>
      <c r="J1099" s="4">
        <f t="shared" si="158"/>
        <v>-5.3664262954888483E-3</v>
      </c>
      <c r="K1099" s="4">
        <f t="shared" si="159"/>
        <v>-4.7265361242403783E-3</v>
      </c>
      <c r="L1099" s="4">
        <f t="shared" si="160"/>
        <v>0</v>
      </c>
      <c r="M1099" s="3">
        <f t="shared" si="153"/>
        <v>1</v>
      </c>
      <c r="N1099" s="3">
        <f t="shared" si="154"/>
        <v>17</v>
      </c>
      <c r="O1099" s="3">
        <f t="shared" si="155"/>
        <v>3</v>
      </c>
    </row>
    <row r="1100" spans="1:15" x14ac:dyDescent="0.2">
      <c r="A1100" s="2">
        <v>45309</v>
      </c>
      <c r="B1100" s="3">
        <v>29848</v>
      </c>
      <c r="C1100" s="3">
        <v>29655</v>
      </c>
      <c r="D1100" s="3">
        <v>29845</v>
      </c>
      <c r="E1100" s="3">
        <v>29655</v>
      </c>
      <c r="F1100" s="3">
        <v>10</v>
      </c>
      <c r="G1100" s="7">
        <f t="shared" si="161"/>
        <v>1</v>
      </c>
      <c r="H1100" s="5">
        <f t="shared" si="156"/>
        <v>8.6169026458959887E-3</v>
      </c>
      <c r="I1100" s="4">
        <f t="shared" si="157"/>
        <v>2.1966880702940185E-3</v>
      </c>
      <c r="J1100" s="4">
        <f t="shared" si="158"/>
        <v>6.4070139942674085E-3</v>
      </c>
      <c r="K1100" s="4">
        <f t="shared" si="159"/>
        <v>5.9362279511533242E-3</v>
      </c>
      <c r="L1100" s="4">
        <f t="shared" si="160"/>
        <v>-0.5</v>
      </c>
      <c r="M1100" s="3">
        <f t="shared" si="153"/>
        <v>1</v>
      </c>
      <c r="N1100" s="3">
        <f t="shared" si="154"/>
        <v>18</v>
      </c>
      <c r="O1100" s="3">
        <f t="shared" si="155"/>
        <v>4</v>
      </c>
    </row>
    <row r="1101" spans="1:15" x14ac:dyDescent="0.2">
      <c r="A1101" s="2">
        <v>45310</v>
      </c>
      <c r="B1101" s="3">
        <v>29778</v>
      </c>
      <c r="C1101" s="3">
        <v>29930</v>
      </c>
      <c r="D1101" s="3">
        <v>30010</v>
      </c>
      <c r="E1101" s="3">
        <v>29900</v>
      </c>
      <c r="F1101" s="3">
        <v>10</v>
      </c>
      <c r="G1101" s="7">
        <f t="shared" si="161"/>
        <v>0</v>
      </c>
      <c r="H1101" s="5">
        <f t="shared" si="156"/>
        <v>-2.3452157598499064E-3</v>
      </c>
      <c r="I1101" s="4">
        <f t="shared" si="157"/>
        <v>9.2733097285449331E-3</v>
      </c>
      <c r="J1101" s="4">
        <f t="shared" si="158"/>
        <v>5.5285642486178586E-3</v>
      </c>
      <c r="K1101" s="4">
        <f t="shared" si="159"/>
        <v>8.2616759399763949E-3</v>
      </c>
      <c r="L1101" s="4">
        <f t="shared" si="160"/>
        <v>0</v>
      </c>
      <c r="M1101" s="3">
        <f t="shared" si="153"/>
        <v>1</v>
      </c>
      <c r="N1101" s="3">
        <f t="shared" si="154"/>
        <v>19</v>
      </c>
      <c r="O1101" s="3">
        <f t="shared" si="155"/>
        <v>5</v>
      </c>
    </row>
    <row r="1102" spans="1:15" x14ac:dyDescent="0.2">
      <c r="A1102" s="2">
        <v>45313</v>
      </c>
      <c r="B1102" s="3">
        <v>29787</v>
      </c>
      <c r="C1102" s="3">
        <v>30000</v>
      </c>
      <c r="D1102" s="3">
        <v>30020</v>
      </c>
      <c r="E1102" s="3">
        <v>29700</v>
      </c>
      <c r="F1102" s="3">
        <v>40</v>
      </c>
      <c r="G1102" s="7">
        <f t="shared" si="161"/>
        <v>1</v>
      </c>
      <c r="H1102" s="5">
        <f t="shared" si="156"/>
        <v>3.0223655047350391E-4</v>
      </c>
      <c r="I1102" s="4">
        <f t="shared" si="157"/>
        <v>2.3387905111927833E-3</v>
      </c>
      <c r="J1102" s="4">
        <f t="shared" si="158"/>
        <v>3.332222592469177E-4</v>
      </c>
      <c r="K1102" s="4">
        <f t="shared" si="159"/>
        <v>-6.688963210702341E-3</v>
      </c>
      <c r="L1102" s="4">
        <f t="shared" si="160"/>
        <v>3</v>
      </c>
      <c r="M1102" s="3">
        <f t="shared" si="153"/>
        <v>1</v>
      </c>
      <c r="N1102" s="3">
        <f t="shared" si="154"/>
        <v>22</v>
      </c>
      <c r="O1102" s="3">
        <f t="shared" si="155"/>
        <v>1</v>
      </c>
    </row>
    <row r="1103" spans="1:15" x14ac:dyDescent="0.2">
      <c r="A1103" s="2">
        <v>45314</v>
      </c>
      <c r="B1103" s="3">
        <v>29657</v>
      </c>
      <c r="C1103" s="3">
        <v>29835</v>
      </c>
      <c r="D1103" s="3">
        <v>29835</v>
      </c>
      <c r="E1103" s="3">
        <v>29580</v>
      </c>
      <c r="F1103" s="3">
        <v>20</v>
      </c>
      <c r="G1103" s="7">
        <f t="shared" si="161"/>
        <v>0</v>
      </c>
      <c r="H1103" s="5">
        <f t="shared" si="156"/>
        <v>-4.3643200053714712E-3</v>
      </c>
      <c r="I1103" s="4">
        <f t="shared" si="157"/>
        <v>-5.4999999999999997E-3</v>
      </c>
      <c r="J1103" s="4">
        <f t="shared" si="158"/>
        <v>-6.1625582944703529E-3</v>
      </c>
      <c r="K1103" s="4">
        <f t="shared" si="159"/>
        <v>-4.0404040404040404E-3</v>
      </c>
      <c r="L1103" s="4">
        <f t="shared" si="160"/>
        <v>-0.5</v>
      </c>
      <c r="M1103" s="3">
        <f t="shared" si="153"/>
        <v>1</v>
      </c>
      <c r="N1103" s="3">
        <f t="shared" si="154"/>
        <v>23</v>
      </c>
      <c r="O1103" s="3">
        <f t="shared" si="155"/>
        <v>2</v>
      </c>
    </row>
    <row r="1104" spans="1:15" x14ac:dyDescent="0.2">
      <c r="A1104" s="2">
        <v>45315</v>
      </c>
      <c r="B1104" s="3">
        <v>29921</v>
      </c>
      <c r="C1104" s="3">
        <v>29800</v>
      </c>
      <c r="D1104" s="3">
        <v>29940</v>
      </c>
      <c r="E1104" s="3">
        <v>29760</v>
      </c>
      <c r="F1104" s="3">
        <v>20</v>
      </c>
      <c r="G1104" s="7">
        <f t="shared" si="161"/>
        <v>1</v>
      </c>
      <c r="H1104" s="5">
        <f t="shared" si="156"/>
        <v>8.9017769835114807E-3</v>
      </c>
      <c r="I1104" s="4">
        <f t="shared" si="157"/>
        <v>-1.1731188201776438E-3</v>
      </c>
      <c r="J1104" s="4">
        <f t="shared" si="158"/>
        <v>3.5193564605329312E-3</v>
      </c>
      <c r="K1104" s="4">
        <f t="shared" si="159"/>
        <v>6.0851926977687626E-3</v>
      </c>
      <c r="L1104" s="4">
        <f t="shared" si="160"/>
        <v>0</v>
      </c>
      <c r="M1104" s="3">
        <f t="shared" si="153"/>
        <v>1</v>
      </c>
      <c r="N1104" s="3">
        <f t="shared" si="154"/>
        <v>24</v>
      </c>
      <c r="O1104" s="3">
        <f t="shared" si="155"/>
        <v>3</v>
      </c>
    </row>
    <row r="1105" spans="1:15" x14ac:dyDescent="0.2">
      <c r="A1105" s="2">
        <v>45316</v>
      </c>
      <c r="B1105" s="3">
        <v>29756</v>
      </c>
      <c r="C1105" s="3">
        <v>29730</v>
      </c>
      <c r="D1105" s="3">
        <v>29820</v>
      </c>
      <c r="E1105" s="3">
        <v>29600</v>
      </c>
      <c r="F1105" s="3">
        <v>10</v>
      </c>
      <c r="G1105" s="7">
        <f t="shared" si="161"/>
        <v>0</v>
      </c>
      <c r="H1105" s="5">
        <f t="shared" si="156"/>
        <v>-5.5145215734768221E-3</v>
      </c>
      <c r="I1105" s="4">
        <f t="shared" si="157"/>
        <v>-2.3489932885906038E-3</v>
      </c>
      <c r="J1105" s="4">
        <f t="shared" si="158"/>
        <v>-4.0080160320641279E-3</v>
      </c>
      <c r="K1105" s="4">
        <f t="shared" si="159"/>
        <v>-5.3763440860215058E-3</v>
      </c>
      <c r="L1105" s="4">
        <f t="shared" si="160"/>
        <v>-0.5</v>
      </c>
      <c r="M1105" s="3">
        <f t="shared" si="153"/>
        <v>1</v>
      </c>
      <c r="N1105" s="3">
        <f t="shared" si="154"/>
        <v>25</v>
      </c>
      <c r="O1105" s="3">
        <f t="shared" si="155"/>
        <v>4</v>
      </c>
    </row>
    <row r="1106" spans="1:15" x14ac:dyDescent="0.2">
      <c r="A1106" s="2">
        <v>45317</v>
      </c>
      <c r="B1106" s="3">
        <v>29964</v>
      </c>
      <c r="C1106" s="3">
        <v>29765</v>
      </c>
      <c r="D1106" s="3">
        <v>29995</v>
      </c>
      <c r="E1106" s="3">
        <v>29765</v>
      </c>
      <c r="F1106" s="3">
        <v>10</v>
      </c>
      <c r="G1106" s="7">
        <f t="shared" si="161"/>
        <v>1</v>
      </c>
      <c r="H1106" s="5">
        <f t="shared" si="156"/>
        <v>6.9901868530716496E-3</v>
      </c>
      <c r="I1106" s="4">
        <f t="shared" si="157"/>
        <v>1.1772620248906827E-3</v>
      </c>
      <c r="J1106" s="4">
        <f t="shared" si="158"/>
        <v>5.8685446009389668E-3</v>
      </c>
      <c r="K1106" s="4">
        <f t="shared" si="159"/>
        <v>5.5743243243243246E-3</v>
      </c>
      <c r="L1106" s="4">
        <f t="shared" si="160"/>
        <v>0</v>
      </c>
      <c r="M1106" s="3">
        <f t="shared" si="153"/>
        <v>1</v>
      </c>
      <c r="N1106" s="3">
        <f t="shared" si="154"/>
        <v>26</v>
      </c>
      <c r="O1106" s="3">
        <f t="shared" si="155"/>
        <v>5</v>
      </c>
    </row>
    <row r="1107" spans="1:15" x14ac:dyDescent="0.2">
      <c r="A1107" s="2">
        <v>45320</v>
      </c>
      <c r="B1107" s="3">
        <v>29801</v>
      </c>
      <c r="C1107" s="3">
        <v>29930</v>
      </c>
      <c r="D1107" s="3">
        <v>29975</v>
      </c>
      <c r="E1107" s="3">
        <v>29700</v>
      </c>
      <c r="F1107" s="3">
        <v>30</v>
      </c>
      <c r="G1107" s="7">
        <f t="shared" si="161"/>
        <v>0</v>
      </c>
      <c r="H1107" s="5">
        <f t="shared" si="156"/>
        <v>-5.4398611667334134E-3</v>
      </c>
      <c r="I1107" s="4">
        <f t="shared" si="157"/>
        <v>5.5434234839576687E-3</v>
      </c>
      <c r="J1107" s="4">
        <f t="shared" si="158"/>
        <v>-6.6677779629938322E-4</v>
      </c>
      <c r="K1107" s="4">
        <f t="shared" si="159"/>
        <v>-2.1837728876196874E-3</v>
      </c>
      <c r="L1107" s="4">
        <f t="shared" si="160"/>
        <v>2</v>
      </c>
      <c r="M1107" s="3">
        <f t="shared" si="153"/>
        <v>1</v>
      </c>
      <c r="N1107" s="3">
        <f t="shared" si="154"/>
        <v>29</v>
      </c>
      <c r="O1107" s="3">
        <f t="shared" si="155"/>
        <v>1</v>
      </c>
    </row>
    <row r="1108" spans="1:15" x14ac:dyDescent="0.2">
      <c r="A1108" s="2">
        <v>45321</v>
      </c>
      <c r="B1108" s="3">
        <v>30207</v>
      </c>
      <c r="C1108" s="3">
        <v>29970</v>
      </c>
      <c r="D1108" s="3">
        <v>30215</v>
      </c>
      <c r="E1108" s="3">
        <v>29835</v>
      </c>
      <c r="F1108" s="3">
        <v>50</v>
      </c>
      <c r="G1108" s="7">
        <f t="shared" si="161"/>
        <v>1</v>
      </c>
      <c r="H1108" s="5">
        <f t="shared" si="156"/>
        <v>1.3623703902553606E-2</v>
      </c>
      <c r="I1108" s="4">
        <f t="shared" si="157"/>
        <v>1.3364517206815904E-3</v>
      </c>
      <c r="J1108" s="4">
        <f t="shared" si="158"/>
        <v>8.0066722268557124E-3</v>
      </c>
      <c r="K1108" s="4">
        <f t="shared" si="159"/>
        <v>4.5454545454545452E-3</v>
      </c>
      <c r="L1108" s="4">
        <f t="shared" si="160"/>
        <v>0.66666666666666663</v>
      </c>
      <c r="M1108" s="3">
        <f t="shared" si="153"/>
        <v>1</v>
      </c>
      <c r="N1108" s="3">
        <f t="shared" si="154"/>
        <v>30</v>
      </c>
      <c r="O1108" s="3">
        <f t="shared" si="155"/>
        <v>2</v>
      </c>
    </row>
    <row r="1109" spans="1:15" x14ac:dyDescent="0.2">
      <c r="A1109" s="2">
        <v>45322</v>
      </c>
      <c r="B1109" s="3">
        <v>30346</v>
      </c>
      <c r="C1109" s="3">
        <v>30280</v>
      </c>
      <c r="D1109" s="3">
        <v>30470</v>
      </c>
      <c r="E1109" s="3">
        <v>30215</v>
      </c>
      <c r="F1109" s="3">
        <v>30</v>
      </c>
      <c r="G1109" s="7">
        <f t="shared" si="161"/>
        <v>1</v>
      </c>
      <c r="H1109" s="5">
        <f t="shared" si="156"/>
        <v>4.601582414672096E-3</v>
      </c>
      <c r="I1109" s="4">
        <f t="shared" si="157"/>
        <v>1.0343677010343676E-2</v>
      </c>
      <c r="J1109" s="4">
        <f t="shared" si="158"/>
        <v>8.4395167962932321E-3</v>
      </c>
      <c r="K1109" s="4">
        <f t="shared" si="159"/>
        <v>1.2736718619071561E-2</v>
      </c>
      <c r="L1109" s="4">
        <f t="shared" si="160"/>
        <v>-0.4</v>
      </c>
      <c r="M1109" s="3">
        <f t="shared" si="153"/>
        <v>1</v>
      </c>
      <c r="N1109" s="3">
        <f t="shared" si="154"/>
        <v>31</v>
      </c>
      <c r="O1109" s="3">
        <f t="shared" si="155"/>
        <v>3</v>
      </c>
    </row>
    <row r="1110" spans="1:15" x14ac:dyDescent="0.2">
      <c r="A1110" s="2">
        <v>45323</v>
      </c>
      <c r="B1110" s="3">
        <v>30246</v>
      </c>
      <c r="C1110" s="3">
        <v>30175</v>
      </c>
      <c r="D1110" s="3">
        <v>30400</v>
      </c>
      <c r="E1110" s="3">
        <v>30110</v>
      </c>
      <c r="F1110" s="3">
        <v>30</v>
      </c>
      <c r="G1110" s="7">
        <f t="shared" si="161"/>
        <v>0</v>
      </c>
      <c r="H1110" s="5">
        <f t="shared" si="156"/>
        <v>-3.295327225993541E-3</v>
      </c>
      <c r="I1110" s="4">
        <f t="shared" si="157"/>
        <v>-3.4676354029062086E-3</v>
      </c>
      <c r="J1110" s="4">
        <f t="shared" si="158"/>
        <v>-2.2973416475221531E-3</v>
      </c>
      <c r="K1110" s="4">
        <f t="shared" si="159"/>
        <v>-3.4750951514148603E-3</v>
      </c>
      <c r="L1110" s="4">
        <f t="shared" si="160"/>
        <v>0</v>
      </c>
      <c r="M1110" s="3">
        <f t="shared" si="153"/>
        <v>2</v>
      </c>
      <c r="N1110" s="3">
        <f t="shared" si="154"/>
        <v>1</v>
      </c>
      <c r="O1110" s="3">
        <f t="shared" si="155"/>
        <v>4</v>
      </c>
    </row>
    <row r="1111" spans="1:15" x14ac:dyDescent="0.2">
      <c r="A1111" s="2">
        <v>45324</v>
      </c>
      <c r="B1111" s="3">
        <v>30296</v>
      </c>
      <c r="C1111" s="3">
        <v>30390</v>
      </c>
      <c r="D1111" s="3">
        <v>30400</v>
      </c>
      <c r="E1111" s="3">
        <v>30275</v>
      </c>
      <c r="F1111" s="3">
        <v>40</v>
      </c>
      <c r="G1111" s="7">
        <f t="shared" si="161"/>
        <v>1</v>
      </c>
      <c r="H1111" s="5">
        <f t="shared" si="156"/>
        <v>1.6531111551940753E-3</v>
      </c>
      <c r="I1111" s="4">
        <f t="shared" si="157"/>
        <v>7.125103562551781E-3</v>
      </c>
      <c r="J1111" s="4">
        <f t="shared" si="158"/>
        <v>0</v>
      </c>
      <c r="K1111" s="4">
        <f t="shared" si="159"/>
        <v>5.4799070076386579E-3</v>
      </c>
      <c r="L1111" s="4">
        <f t="shared" si="160"/>
        <v>0.33333333333333331</v>
      </c>
      <c r="M1111" s="3">
        <f t="shared" si="153"/>
        <v>2</v>
      </c>
      <c r="N1111" s="3">
        <f t="shared" si="154"/>
        <v>2</v>
      </c>
      <c r="O1111" s="3">
        <f t="shared" si="155"/>
        <v>5</v>
      </c>
    </row>
    <row r="1112" spans="1:15" x14ac:dyDescent="0.2">
      <c r="A1112" s="2">
        <v>45327</v>
      </c>
      <c r="B1112" s="3">
        <v>30499</v>
      </c>
      <c r="C1112" s="3">
        <v>30450</v>
      </c>
      <c r="D1112" s="3">
        <v>30625</v>
      </c>
      <c r="E1112" s="3">
        <v>30420</v>
      </c>
      <c r="F1112" s="3">
        <v>50</v>
      </c>
      <c r="G1112" s="7">
        <f t="shared" si="161"/>
        <v>1</v>
      </c>
      <c r="H1112" s="5">
        <f t="shared" si="156"/>
        <v>6.7005545286506468E-3</v>
      </c>
      <c r="I1112" s="4">
        <f t="shared" si="157"/>
        <v>1.9743336623889436E-3</v>
      </c>
      <c r="J1112" s="4">
        <f t="shared" si="158"/>
        <v>7.4013157894736838E-3</v>
      </c>
      <c r="K1112" s="4">
        <f t="shared" si="159"/>
        <v>4.7894302229562341E-3</v>
      </c>
      <c r="L1112" s="4">
        <f t="shared" si="160"/>
        <v>0.25</v>
      </c>
      <c r="M1112" s="3">
        <f t="shared" si="153"/>
        <v>2</v>
      </c>
      <c r="N1112" s="3">
        <f t="shared" si="154"/>
        <v>5</v>
      </c>
      <c r="O1112" s="3">
        <f t="shared" si="155"/>
        <v>1</v>
      </c>
    </row>
    <row r="1113" spans="1:15" x14ac:dyDescent="0.2">
      <c r="A1113" s="2">
        <v>45328</v>
      </c>
      <c r="B1113" s="3">
        <v>30676</v>
      </c>
      <c r="C1113" s="3">
        <v>30710</v>
      </c>
      <c r="D1113" s="3">
        <v>30725</v>
      </c>
      <c r="E1113" s="3">
        <v>30585</v>
      </c>
      <c r="F1113" s="3">
        <v>30</v>
      </c>
      <c r="G1113" s="7">
        <f t="shared" si="161"/>
        <v>1</v>
      </c>
      <c r="H1113" s="5">
        <f t="shared" si="156"/>
        <v>5.8034689661956131E-3</v>
      </c>
      <c r="I1113" s="4">
        <f t="shared" si="157"/>
        <v>8.5385878489326762E-3</v>
      </c>
      <c r="J1113" s="4">
        <f t="shared" si="158"/>
        <v>3.2653061224489797E-3</v>
      </c>
      <c r="K1113" s="4">
        <f t="shared" si="159"/>
        <v>5.4240631163708086E-3</v>
      </c>
      <c r="L1113" s="4">
        <f t="shared" si="160"/>
        <v>-0.4</v>
      </c>
      <c r="M1113" s="3">
        <f t="shared" si="153"/>
        <v>2</v>
      </c>
      <c r="N1113" s="3">
        <f t="shared" si="154"/>
        <v>6</v>
      </c>
      <c r="O1113" s="3">
        <f t="shared" si="155"/>
        <v>2</v>
      </c>
    </row>
    <row r="1114" spans="1:15" x14ac:dyDescent="0.2">
      <c r="A1114" s="2">
        <v>45329</v>
      </c>
      <c r="B1114" s="3">
        <v>30529</v>
      </c>
      <c r="C1114" s="3">
        <v>30760</v>
      </c>
      <c r="D1114" s="3">
        <v>30760</v>
      </c>
      <c r="E1114" s="3">
        <v>30540</v>
      </c>
      <c r="F1114" s="3">
        <v>80</v>
      </c>
      <c r="G1114" s="7">
        <f t="shared" si="161"/>
        <v>0</v>
      </c>
      <c r="H1114" s="5">
        <f t="shared" si="156"/>
        <v>-4.7920198200547661E-3</v>
      </c>
      <c r="I1114" s="4">
        <f t="shared" si="157"/>
        <v>1.6281341582546401E-3</v>
      </c>
      <c r="J1114" s="4">
        <f t="shared" si="158"/>
        <v>1.1391375101708705E-3</v>
      </c>
      <c r="K1114" s="4">
        <f t="shared" si="159"/>
        <v>-1.4713094654242277E-3</v>
      </c>
      <c r="L1114" s="4">
        <f t="shared" si="160"/>
        <v>1.6666666666666667</v>
      </c>
      <c r="M1114" s="3">
        <f t="shared" si="153"/>
        <v>2</v>
      </c>
      <c r="N1114" s="3">
        <f t="shared" si="154"/>
        <v>7</v>
      </c>
      <c r="O1114" s="3">
        <f t="shared" si="155"/>
        <v>3</v>
      </c>
    </row>
    <row r="1115" spans="1:15" x14ac:dyDescent="0.2">
      <c r="A1115" s="2">
        <v>45330</v>
      </c>
      <c r="B1115" s="3">
        <v>30600</v>
      </c>
      <c r="C1115" s="3">
        <v>30635</v>
      </c>
      <c r="D1115" s="3">
        <v>30700</v>
      </c>
      <c r="E1115" s="3">
        <v>30540</v>
      </c>
      <c r="F1115" s="3">
        <v>20</v>
      </c>
      <c r="G1115" s="7">
        <f t="shared" si="161"/>
        <v>1</v>
      </c>
      <c r="H1115" s="5">
        <f t="shared" si="156"/>
        <v>2.3256575714894036E-3</v>
      </c>
      <c r="I1115" s="4">
        <f t="shared" si="157"/>
        <v>-4.0637191157347208E-3</v>
      </c>
      <c r="J1115" s="4">
        <f t="shared" si="158"/>
        <v>-1.9505851755526658E-3</v>
      </c>
      <c r="K1115" s="4">
        <f t="shared" si="159"/>
        <v>0</v>
      </c>
      <c r="L1115" s="4">
        <f t="shared" si="160"/>
        <v>-0.75</v>
      </c>
      <c r="M1115" s="3">
        <f t="shared" si="153"/>
        <v>2</v>
      </c>
      <c r="N1115" s="3">
        <f t="shared" si="154"/>
        <v>8</v>
      </c>
      <c r="O1115" s="3">
        <f t="shared" si="155"/>
        <v>4</v>
      </c>
    </row>
    <row r="1116" spans="1:15" x14ac:dyDescent="0.2">
      <c r="A1116" s="2">
        <v>45331</v>
      </c>
      <c r="B1116" s="3">
        <v>30677</v>
      </c>
      <c r="C1116" s="3">
        <v>30685</v>
      </c>
      <c r="D1116" s="3">
        <v>30760</v>
      </c>
      <c r="E1116" s="3">
        <v>30580</v>
      </c>
      <c r="F1116" s="3">
        <v>90</v>
      </c>
      <c r="G1116" s="7">
        <f t="shared" si="161"/>
        <v>1</v>
      </c>
      <c r="H1116" s="5">
        <f t="shared" si="156"/>
        <v>2.5163398692810458E-3</v>
      </c>
      <c r="I1116" s="4">
        <f t="shared" si="157"/>
        <v>1.6321201240411295E-3</v>
      </c>
      <c r="J1116" s="4">
        <f t="shared" si="158"/>
        <v>1.9543973941368079E-3</v>
      </c>
      <c r="K1116" s="4">
        <f t="shared" si="159"/>
        <v>1.3097576948264572E-3</v>
      </c>
      <c r="L1116" s="4">
        <f t="shared" si="160"/>
        <v>3.5</v>
      </c>
      <c r="M1116" s="3">
        <f t="shared" si="153"/>
        <v>2</v>
      </c>
      <c r="N1116" s="3">
        <f t="shared" si="154"/>
        <v>9</v>
      </c>
      <c r="O1116" s="3">
        <f t="shared" si="155"/>
        <v>5</v>
      </c>
    </row>
    <row r="1117" spans="1:15" x14ac:dyDescent="0.2">
      <c r="A1117" s="2">
        <v>45334</v>
      </c>
      <c r="B1117" s="3">
        <v>30961</v>
      </c>
      <c r="C1117" s="3">
        <v>30780</v>
      </c>
      <c r="D1117" s="3">
        <v>30980</v>
      </c>
      <c r="E1117" s="3">
        <v>30765</v>
      </c>
      <c r="F1117" s="3">
        <v>80</v>
      </c>
      <c r="G1117" s="7">
        <f t="shared" si="161"/>
        <v>1</v>
      </c>
      <c r="H1117" s="5">
        <f t="shared" si="156"/>
        <v>9.2577501059425624E-3</v>
      </c>
      <c r="I1117" s="4">
        <f t="shared" si="157"/>
        <v>3.0959752321981426E-3</v>
      </c>
      <c r="J1117" s="4">
        <f t="shared" si="158"/>
        <v>7.1521456436931079E-3</v>
      </c>
      <c r="K1117" s="4">
        <f t="shared" si="159"/>
        <v>6.0497056899934598E-3</v>
      </c>
      <c r="L1117" s="4">
        <f t="shared" si="160"/>
        <v>-0.1111111111111111</v>
      </c>
      <c r="M1117" s="3">
        <f t="shared" si="153"/>
        <v>2</v>
      </c>
      <c r="N1117" s="3">
        <f t="shared" si="154"/>
        <v>12</v>
      </c>
      <c r="O1117" s="3">
        <f t="shared" si="155"/>
        <v>1</v>
      </c>
    </row>
    <row r="1118" spans="1:15" x14ac:dyDescent="0.2">
      <c r="A1118" s="2">
        <v>45335</v>
      </c>
      <c r="B1118" s="3">
        <v>30659</v>
      </c>
      <c r="C1118" s="3">
        <v>30945</v>
      </c>
      <c r="D1118" s="3">
        <v>30950</v>
      </c>
      <c r="E1118" s="3">
        <v>30500</v>
      </c>
      <c r="F1118" s="3">
        <v>50</v>
      </c>
      <c r="G1118" s="7">
        <f t="shared" si="161"/>
        <v>0</v>
      </c>
      <c r="H1118" s="5">
        <f t="shared" si="156"/>
        <v>-9.7542069054617105E-3</v>
      </c>
      <c r="I1118" s="4">
        <f t="shared" si="157"/>
        <v>5.360623781676413E-3</v>
      </c>
      <c r="J1118" s="4">
        <f t="shared" si="158"/>
        <v>-9.6836668818592645E-4</v>
      </c>
      <c r="K1118" s="4">
        <f t="shared" si="159"/>
        <v>-8.61368438160247E-3</v>
      </c>
      <c r="L1118" s="4">
        <f t="shared" si="160"/>
        <v>-0.375</v>
      </c>
      <c r="M1118" s="3">
        <f t="shared" si="153"/>
        <v>2</v>
      </c>
      <c r="N1118" s="3">
        <f t="shared" si="154"/>
        <v>13</v>
      </c>
      <c r="O1118" s="3">
        <f t="shared" si="155"/>
        <v>2</v>
      </c>
    </row>
    <row r="1119" spans="1:15" x14ac:dyDescent="0.2">
      <c r="A1119" s="2">
        <v>45336</v>
      </c>
      <c r="B1119" s="3">
        <v>30839</v>
      </c>
      <c r="C1119" s="3">
        <v>30600</v>
      </c>
      <c r="D1119" s="3">
        <v>30870</v>
      </c>
      <c r="E1119" s="3">
        <v>30600</v>
      </c>
      <c r="F1119" s="3">
        <v>40</v>
      </c>
      <c r="G1119" s="7">
        <f t="shared" si="161"/>
        <v>1</v>
      </c>
      <c r="H1119" s="5">
        <f t="shared" si="156"/>
        <v>5.8710329756352132E-3</v>
      </c>
      <c r="I1119" s="4">
        <f t="shared" si="157"/>
        <v>-1.1148812409112942E-2</v>
      </c>
      <c r="J1119" s="4">
        <f t="shared" si="158"/>
        <v>-2.5848142164781908E-3</v>
      </c>
      <c r="K1119" s="4">
        <f t="shared" si="159"/>
        <v>3.2786885245901639E-3</v>
      </c>
      <c r="L1119" s="4">
        <f t="shared" si="160"/>
        <v>-0.2</v>
      </c>
      <c r="M1119" s="3">
        <f t="shared" si="153"/>
        <v>2</v>
      </c>
      <c r="N1119" s="3">
        <f t="shared" si="154"/>
        <v>14</v>
      </c>
      <c r="O1119" s="3">
        <f t="shared" si="155"/>
        <v>3</v>
      </c>
    </row>
    <row r="1120" spans="1:15" x14ac:dyDescent="0.2">
      <c r="A1120" s="2">
        <v>45337</v>
      </c>
      <c r="B1120" s="3">
        <v>31173</v>
      </c>
      <c r="C1120" s="3">
        <v>31105</v>
      </c>
      <c r="D1120" s="3">
        <v>31375</v>
      </c>
      <c r="E1120" s="3">
        <v>31070</v>
      </c>
      <c r="F1120" s="3">
        <v>70</v>
      </c>
      <c r="G1120" s="7">
        <f t="shared" si="161"/>
        <v>1</v>
      </c>
      <c r="H1120" s="5">
        <f t="shared" si="156"/>
        <v>1.0830441972826616E-2</v>
      </c>
      <c r="I1120" s="4">
        <f t="shared" si="157"/>
        <v>1.6503267973856209E-2</v>
      </c>
      <c r="J1120" s="4">
        <f t="shared" si="158"/>
        <v>1.635892452218983E-2</v>
      </c>
      <c r="K1120" s="4">
        <f t="shared" si="159"/>
        <v>1.5359477124183006E-2</v>
      </c>
      <c r="L1120" s="4">
        <f t="shared" si="160"/>
        <v>0.75</v>
      </c>
      <c r="M1120" s="3">
        <f t="shared" si="153"/>
        <v>2</v>
      </c>
      <c r="N1120" s="3">
        <f t="shared" si="154"/>
        <v>15</v>
      </c>
      <c r="O1120" s="3">
        <f t="shared" si="155"/>
        <v>4</v>
      </c>
    </row>
    <row r="1121" spans="1:15" x14ac:dyDescent="0.2">
      <c r="A1121" s="2">
        <v>45338</v>
      </c>
      <c r="B1121" s="3">
        <v>31248</v>
      </c>
      <c r="C1121" s="3">
        <v>31390</v>
      </c>
      <c r="D1121" s="3">
        <v>31420</v>
      </c>
      <c r="E1121" s="3">
        <v>31170</v>
      </c>
      <c r="F1121" s="3">
        <v>80</v>
      </c>
      <c r="G1121" s="7">
        <f t="shared" si="161"/>
        <v>1</v>
      </c>
      <c r="H1121" s="5">
        <f t="shared" si="156"/>
        <v>2.4059282071023E-3</v>
      </c>
      <c r="I1121" s="4">
        <f t="shared" si="157"/>
        <v>9.1625140652628195E-3</v>
      </c>
      <c r="J1121" s="4">
        <f t="shared" si="158"/>
        <v>1.4342629482071714E-3</v>
      </c>
      <c r="K1121" s="4">
        <f t="shared" si="159"/>
        <v>3.2185387833923397E-3</v>
      </c>
      <c r="L1121" s="4">
        <f t="shared" si="160"/>
        <v>0.14285714285714285</v>
      </c>
      <c r="M1121" s="3">
        <f t="shared" si="153"/>
        <v>2</v>
      </c>
      <c r="N1121" s="3">
        <f t="shared" si="154"/>
        <v>16</v>
      </c>
      <c r="O1121" s="3">
        <f t="shared" si="155"/>
        <v>5</v>
      </c>
    </row>
    <row r="1122" spans="1:15" x14ac:dyDescent="0.2">
      <c r="A1122" s="2">
        <v>45341</v>
      </c>
      <c r="B1122" s="3">
        <v>31180</v>
      </c>
      <c r="C1122" s="3">
        <v>31160</v>
      </c>
      <c r="D1122" s="3">
        <v>31210</v>
      </c>
      <c r="E1122" s="3">
        <v>31120</v>
      </c>
      <c r="F1122" s="3">
        <v>20</v>
      </c>
      <c r="G1122" s="7">
        <f t="shared" si="161"/>
        <v>0</v>
      </c>
      <c r="H1122" s="5">
        <f t="shared" si="156"/>
        <v>-2.1761392729134667E-3</v>
      </c>
      <c r="I1122" s="4">
        <f t="shared" si="157"/>
        <v>-7.327174259318254E-3</v>
      </c>
      <c r="J1122" s="4">
        <f t="shared" si="158"/>
        <v>-6.6836409929980902E-3</v>
      </c>
      <c r="K1122" s="4">
        <f t="shared" si="159"/>
        <v>-1.6041065126724415E-3</v>
      </c>
      <c r="L1122" s="4">
        <f t="shared" si="160"/>
        <v>-0.75</v>
      </c>
      <c r="M1122" s="3">
        <f t="shared" si="153"/>
        <v>2</v>
      </c>
      <c r="N1122" s="3">
        <f t="shared" si="154"/>
        <v>19</v>
      </c>
      <c r="O1122" s="3">
        <f t="shared" si="155"/>
        <v>1</v>
      </c>
    </row>
    <row r="1123" spans="1:15" x14ac:dyDescent="0.2">
      <c r="A1123" s="2">
        <v>45342</v>
      </c>
      <c r="B1123" s="3">
        <v>31219</v>
      </c>
      <c r="C1123" s="3">
        <v>31180</v>
      </c>
      <c r="D1123" s="3">
        <v>31280</v>
      </c>
      <c r="E1123" s="3">
        <v>31175</v>
      </c>
      <c r="F1123" s="3">
        <v>80</v>
      </c>
      <c r="G1123" s="7">
        <f t="shared" si="161"/>
        <v>1</v>
      </c>
      <c r="H1123" s="5">
        <f t="shared" si="156"/>
        <v>1.2508017960230918E-3</v>
      </c>
      <c r="I1123" s="4">
        <f t="shared" si="157"/>
        <v>6.4184852374839533E-4</v>
      </c>
      <c r="J1123" s="4">
        <f t="shared" si="158"/>
        <v>2.242870874719641E-3</v>
      </c>
      <c r="K1123" s="4">
        <f t="shared" si="159"/>
        <v>1.7673521850899742E-3</v>
      </c>
      <c r="L1123" s="4">
        <f t="shared" si="160"/>
        <v>3</v>
      </c>
      <c r="M1123" s="3">
        <f t="shared" si="153"/>
        <v>2</v>
      </c>
      <c r="N1123" s="3">
        <f t="shared" si="154"/>
        <v>20</v>
      </c>
      <c r="O1123" s="3">
        <f t="shared" si="155"/>
        <v>2</v>
      </c>
    </row>
    <row r="1124" spans="1:15" x14ac:dyDescent="0.2">
      <c r="A1124" s="2">
        <v>45343</v>
      </c>
      <c r="B1124" s="3">
        <v>31529</v>
      </c>
      <c r="C1124" s="3">
        <v>31270</v>
      </c>
      <c r="D1124" s="3">
        <v>31640</v>
      </c>
      <c r="E1124" s="3">
        <v>31270</v>
      </c>
      <c r="F1124" s="3">
        <v>120</v>
      </c>
      <c r="G1124" s="7">
        <f t="shared" si="161"/>
        <v>1</v>
      </c>
      <c r="H1124" s="5">
        <f t="shared" si="156"/>
        <v>9.9298504116083156E-3</v>
      </c>
      <c r="I1124" s="4">
        <f t="shared" si="157"/>
        <v>2.8864656831302116E-3</v>
      </c>
      <c r="J1124" s="4">
        <f t="shared" si="158"/>
        <v>1.1508951406649617E-2</v>
      </c>
      <c r="K1124" s="4">
        <f t="shared" si="159"/>
        <v>3.0473135525260625E-3</v>
      </c>
      <c r="L1124" s="4">
        <f t="shared" si="160"/>
        <v>0.5</v>
      </c>
      <c r="M1124" s="3">
        <f t="shared" si="153"/>
        <v>2</v>
      </c>
      <c r="N1124" s="3">
        <f t="shared" si="154"/>
        <v>21</v>
      </c>
      <c r="O1124" s="3">
        <f t="shared" si="155"/>
        <v>3</v>
      </c>
    </row>
    <row r="1125" spans="1:15" x14ac:dyDescent="0.2">
      <c r="A1125" s="2">
        <v>45344</v>
      </c>
      <c r="B1125" s="3">
        <v>31882</v>
      </c>
      <c r="C1125" s="3">
        <v>31815</v>
      </c>
      <c r="D1125" s="3">
        <v>31970</v>
      </c>
      <c r="E1125" s="3">
        <v>31740</v>
      </c>
      <c r="F1125" s="3">
        <v>100</v>
      </c>
      <c r="G1125" s="7">
        <f t="shared" si="161"/>
        <v>1</v>
      </c>
      <c r="H1125" s="5">
        <f t="shared" si="156"/>
        <v>1.1196041739351074E-2</v>
      </c>
      <c r="I1125" s="4">
        <f t="shared" si="157"/>
        <v>1.7428845538855132E-2</v>
      </c>
      <c r="J1125" s="4">
        <f t="shared" si="158"/>
        <v>1.0429835651074588E-2</v>
      </c>
      <c r="K1125" s="4">
        <f t="shared" si="159"/>
        <v>1.5030380556443877E-2</v>
      </c>
      <c r="L1125" s="4">
        <f t="shared" si="160"/>
        <v>-0.16666666666666666</v>
      </c>
      <c r="M1125" s="3">
        <f t="shared" si="153"/>
        <v>2</v>
      </c>
      <c r="N1125" s="3">
        <f t="shared" si="154"/>
        <v>22</v>
      </c>
      <c r="O1125" s="3">
        <f t="shared" si="155"/>
        <v>4</v>
      </c>
    </row>
    <row r="1126" spans="1:15" x14ac:dyDescent="0.2">
      <c r="A1126" s="2">
        <v>45345</v>
      </c>
      <c r="B1126" s="3">
        <v>32200</v>
      </c>
      <c r="C1126" s="3">
        <v>31880</v>
      </c>
      <c r="D1126" s="3">
        <v>32210</v>
      </c>
      <c r="E1126" s="3">
        <v>31880</v>
      </c>
      <c r="F1126" s="3">
        <v>70</v>
      </c>
      <c r="G1126" s="7">
        <f t="shared" si="161"/>
        <v>1</v>
      </c>
      <c r="H1126" s="5">
        <f t="shared" si="156"/>
        <v>9.9742801580829307E-3</v>
      </c>
      <c r="I1126" s="4">
        <f t="shared" si="157"/>
        <v>2.0430614490020431E-3</v>
      </c>
      <c r="J1126" s="4">
        <f t="shared" si="158"/>
        <v>7.507037847982484E-3</v>
      </c>
      <c r="K1126" s="4">
        <f t="shared" si="159"/>
        <v>4.4108380592312538E-3</v>
      </c>
      <c r="L1126" s="4">
        <f t="shared" si="160"/>
        <v>-0.3</v>
      </c>
      <c r="M1126" s="3">
        <f t="shared" si="153"/>
        <v>2</v>
      </c>
      <c r="N1126" s="3">
        <f t="shared" si="154"/>
        <v>23</v>
      </c>
      <c r="O1126" s="3">
        <f t="shared" si="155"/>
        <v>5</v>
      </c>
    </row>
    <row r="1127" spans="1:15" x14ac:dyDescent="0.2">
      <c r="A1127" s="2">
        <v>45348</v>
      </c>
      <c r="B1127" s="3">
        <v>32080</v>
      </c>
      <c r="C1127" s="3">
        <v>32100</v>
      </c>
      <c r="D1127" s="3">
        <v>32150</v>
      </c>
      <c r="E1127" s="3">
        <v>32080</v>
      </c>
      <c r="F1127" s="3">
        <v>30</v>
      </c>
      <c r="G1127" s="7">
        <f t="shared" si="161"/>
        <v>0</v>
      </c>
      <c r="H1127" s="5">
        <f t="shared" si="156"/>
        <v>-3.7267080745341614E-3</v>
      </c>
      <c r="I1127" s="4">
        <f t="shared" si="157"/>
        <v>6.9008782936010038E-3</v>
      </c>
      <c r="J1127" s="4">
        <f t="shared" si="158"/>
        <v>-1.8627755355479665E-3</v>
      </c>
      <c r="K1127" s="4">
        <f t="shared" si="159"/>
        <v>6.2735257214554582E-3</v>
      </c>
      <c r="L1127" s="4">
        <f t="shared" si="160"/>
        <v>-0.5714285714285714</v>
      </c>
      <c r="M1127" s="3">
        <f t="shared" si="153"/>
        <v>2</v>
      </c>
      <c r="N1127" s="3">
        <f t="shared" si="154"/>
        <v>26</v>
      </c>
      <c r="O1127" s="3">
        <f t="shared" si="155"/>
        <v>1</v>
      </c>
    </row>
    <row r="1128" spans="1:15" x14ac:dyDescent="0.2">
      <c r="A1128" s="2">
        <v>45349</v>
      </c>
      <c r="B1128" s="3">
        <v>32204</v>
      </c>
      <c r="C1128" s="3">
        <v>32035</v>
      </c>
      <c r="D1128" s="3">
        <v>32220</v>
      </c>
      <c r="E1128" s="3">
        <v>32010</v>
      </c>
      <c r="F1128" s="3">
        <v>60</v>
      </c>
      <c r="G1128" s="7">
        <f t="shared" si="161"/>
        <v>1</v>
      </c>
      <c r="H1128" s="5">
        <f t="shared" si="156"/>
        <v>3.8653366583541147E-3</v>
      </c>
      <c r="I1128" s="4">
        <f t="shared" si="157"/>
        <v>-2.0249221183800624E-3</v>
      </c>
      <c r="J1128" s="4">
        <f t="shared" si="158"/>
        <v>2.1772939346811821E-3</v>
      </c>
      <c r="K1128" s="4">
        <f t="shared" si="159"/>
        <v>-2.1820448877805485E-3</v>
      </c>
      <c r="L1128" s="4">
        <f t="shared" si="160"/>
        <v>1</v>
      </c>
      <c r="M1128" s="3">
        <f t="shared" si="153"/>
        <v>2</v>
      </c>
      <c r="N1128" s="3">
        <f t="shared" si="154"/>
        <v>27</v>
      </c>
      <c r="O1128" s="3">
        <f t="shared" si="155"/>
        <v>2</v>
      </c>
    </row>
    <row r="1129" spans="1:15" x14ac:dyDescent="0.2">
      <c r="A1129" s="2">
        <v>45350</v>
      </c>
      <c r="B1129" s="3">
        <v>32118</v>
      </c>
      <c r="C1129" s="3">
        <v>32185</v>
      </c>
      <c r="D1129" s="3">
        <v>32185</v>
      </c>
      <c r="E1129" s="3">
        <v>32040</v>
      </c>
      <c r="F1129" s="3">
        <v>30</v>
      </c>
      <c r="G1129" s="7">
        <f t="shared" si="161"/>
        <v>0</v>
      </c>
      <c r="H1129" s="5">
        <f t="shared" si="156"/>
        <v>-2.6704757173021984E-3</v>
      </c>
      <c r="I1129" s="4">
        <f t="shared" si="157"/>
        <v>4.6823786483533632E-3</v>
      </c>
      <c r="J1129" s="4">
        <f t="shared" si="158"/>
        <v>-1.0862818125387957E-3</v>
      </c>
      <c r="K1129" s="4">
        <f t="shared" si="159"/>
        <v>9.372071227741331E-4</v>
      </c>
      <c r="L1129" s="4">
        <f t="shared" si="160"/>
        <v>-0.5</v>
      </c>
      <c r="M1129" s="3">
        <f t="shared" si="153"/>
        <v>2</v>
      </c>
      <c r="N1129" s="3">
        <f t="shared" si="154"/>
        <v>28</v>
      </c>
      <c r="O1129" s="3">
        <f t="shared" si="155"/>
        <v>3</v>
      </c>
    </row>
    <row r="1130" spans="1:15" x14ac:dyDescent="0.2">
      <c r="A1130" s="2">
        <v>45351</v>
      </c>
      <c r="B1130" s="3">
        <v>32058</v>
      </c>
      <c r="C1130" s="3">
        <v>32185</v>
      </c>
      <c r="D1130" s="3">
        <v>32255</v>
      </c>
      <c r="E1130" s="3">
        <v>32010</v>
      </c>
      <c r="F1130" s="3">
        <v>70</v>
      </c>
      <c r="G1130" s="7">
        <f t="shared" si="161"/>
        <v>0</v>
      </c>
      <c r="H1130" s="5">
        <f t="shared" si="156"/>
        <v>-1.8681113394358303E-3</v>
      </c>
      <c r="I1130" s="4">
        <f t="shared" si="157"/>
        <v>0</v>
      </c>
      <c r="J1130" s="4">
        <f t="shared" si="158"/>
        <v>2.1749262078608047E-3</v>
      </c>
      <c r="K1130" s="4">
        <f t="shared" si="159"/>
        <v>-9.3632958801498128E-4</v>
      </c>
      <c r="L1130" s="4">
        <f t="shared" si="160"/>
        <v>1.3333333333333333</v>
      </c>
      <c r="M1130" s="3">
        <f t="shared" si="153"/>
        <v>2</v>
      </c>
      <c r="N1130" s="3">
        <f t="shared" si="154"/>
        <v>29</v>
      </c>
      <c r="O1130" s="3">
        <f t="shared" si="155"/>
        <v>4</v>
      </c>
    </row>
    <row r="1131" spans="1:15" x14ac:dyDescent="0.2">
      <c r="A1131" s="2">
        <v>45352</v>
      </c>
      <c r="B1131" s="3">
        <v>32399</v>
      </c>
      <c r="C1131" s="3">
        <v>32220</v>
      </c>
      <c r="D1131" s="3">
        <v>32445</v>
      </c>
      <c r="E1131" s="3">
        <v>32220</v>
      </c>
      <c r="F1131" s="3">
        <v>50</v>
      </c>
      <c r="G1131" s="7">
        <f t="shared" si="161"/>
        <v>1</v>
      </c>
      <c r="H1131" s="5">
        <f t="shared" si="156"/>
        <v>1.063697049098509E-2</v>
      </c>
      <c r="I1131" s="4">
        <f t="shared" si="157"/>
        <v>1.0874631039304024E-3</v>
      </c>
      <c r="J1131" s="4">
        <f t="shared" si="158"/>
        <v>5.8905596031623006E-3</v>
      </c>
      <c r="K1131" s="4">
        <f t="shared" si="159"/>
        <v>6.5604498594189313E-3</v>
      </c>
      <c r="L1131" s="4">
        <f t="shared" si="160"/>
        <v>-0.2857142857142857</v>
      </c>
      <c r="M1131" s="3">
        <f t="shared" si="153"/>
        <v>3</v>
      </c>
      <c r="N1131" s="3">
        <f t="shared" si="154"/>
        <v>1</v>
      </c>
      <c r="O1131" s="3">
        <f t="shared" si="155"/>
        <v>5</v>
      </c>
    </row>
    <row r="1132" spans="1:15" x14ac:dyDescent="0.2">
      <c r="A1132" s="2">
        <v>45355</v>
      </c>
      <c r="B1132" s="3">
        <v>32382</v>
      </c>
      <c r="C1132" s="3">
        <v>32385</v>
      </c>
      <c r="D1132" s="3">
        <v>32410</v>
      </c>
      <c r="E1132" s="3">
        <v>32300</v>
      </c>
      <c r="F1132" s="3">
        <v>200</v>
      </c>
      <c r="G1132" s="7">
        <f t="shared" si="161"/>
        <v>0</v>
      </c>
      <c r="H1132" s="5">
        <f t="shared" si="156"/>
        <v>-5.2470755270224391E-4</v>
      </c>
      <c r="I1132" s="4">
        <f t="shared" si="157"/>
        <v>5.121042830540037E-3</v>
      </c>
      <c r="J1132" s="4">
        <f t="shared" si="158"/>
        <v>-1.0787486515641855E-3</v>
      </c>
      <c r="K1132" s="4">
        <f t="shared" si="159"/>
        <v>2.4829298572315332E-3</v>
      </c>
      <c r="L1132" s="4">
        <f t="shared" si="160"/>
        <v>3</v>
      </c>
      <c r="M1132" s="3">
        <f t="shared" si="153"/>
        <v>3</v>
      </c>
      <c r="N1132" s="3">
        <f t="shared" si="154"/>
        <v>4</v>
      </c>
      <c r="O1132" s="3">
        <f t="shared" si="155"/>
        <v>1</v>
      </c>
    </row>
    <row r="1133" spans="1:15" x14ac:dyDescent="0.2">
      <c r="A1133" s="2">
        <v>45356</v>
      </c>
      <c r="B1133" s="3">
        <v>32612</v>
      </c>
      <c r="C1133" s="3">
        <v>32350</v>
      </c>
      <c r="D1133" s="3">
        <v>32645</v>
      </c>
      <c r="E1133" s="3">
        <v>32300</v>
      </c>
      <c r="F1133" s="3">
        <v>4470</v>
      </c>
      <c r="G1133" s="7">
        <f t="shared" si="161"/>
        <v>1</v>
      </c>
      <c r="H1133" s="5">
        <f t="shared" si="156"/>
        <v>7.1027113828670248E-3</v>
      </c>
      <c r="I1133" s="4">
        <f t="shared" si="157"/>
        <v>-1.0807472595337347E-3</v>
      </c>
      <c r="J1133" s="4">
        <f t="shared" si="158"/>
        <v>7.250848503548288E-3</v>
      </c>
      <c r="K1133" s="4">
        <f t="shared" si="159"/>
        <v>0</v>
      </c>
      <c r="L1133" s="4">
        <f t="shared" si="160"/>
        <v>21.35</v>
      </c>
      <c r="M1133" s="3">
        <f t="shared" si="153"/>
        <v>3</v>
      </c>
      <c r="N1133" s="3">
        <f t="shared" si="154"/>
        <v>5</v>
      </c>
      <c r="O1133" s="3">
        <f t="shared" si="155"/>
        <v>2</v>
      </c>
    </row>
    <row r="1134" spans="1:15" x14ac:dyDescent="0.2">
      <c r="A1134" s="2">
        <v>45357</v>
      </c>
      <c r="B1134" s="3">
        <v>32846</v>
      </c>
      <c r="C1134" s="3">
        <v>32615</v>
      </c>
      <c r="D1134" s="3">
        <v>32880</v>
      </c>
      <c r="E1134" s="3">
        <v>32610</v>
      </c>
      <c r="F1134" s="3">
        <v>3440</v>
      </c>
      <c r="G1134" s="7">
        <f t="shared" si="161"/>
        <v>1</v>
      </c>
      <c r="H1134" s="5">
        <f t="shared" si="156"/>
        <v>7.1752729056788912E-3</v>
      </c>
      <c r="I1134" s="4">
        <f t="shared" si="157"/>
        <v>8.191653786707883E-3</v>
      </c>
      <c r="J1134" s="4">
        <f t="shared" si="158"/>
        <v>7.1986521672537905E-3</v>
      </c>
      <c r="K1134" s="4">
        <f t="shared" si="159"/>
        <v>9.5975232198142416E-3</v>
      </c>
      <c r="L1134" s="4">
        <f t="shared" si="160"/>
        <v>-0.23042505592841164</v>
      </c>
      <c r="M1134" s="3">
        <f t="shared" si="153"/>
        <v>3</v>
      </c>
      <c r="N1134" s="3">
        <f t="shared" si="154"/>
        <v>6</v>
      </c>
      <c r="O1134" s="3">
        <f t="shared" si="155"/>
        <v>3</v>
      </c>
    </row>
    <row r="1135" spans="1:15" x14ac:dyDescent="0.2">
      <c r="A1135" s="2">
        <v>45358</v>
      </c>
      <c r="B1135" s="3">
        <v>32876</v>
      </c>
      <c r="C1135" s="3">
        <v>32755</v>
      </c>
      <c r="D1135" s="3">
        <v>32945</v>
      </c>
      <c r="E1135" s="3">
        <v>32665</v>
      </c>
      <c r="F1135" s="3">
        <v>4020</v>
      </c>
      <c r="G1135" s="7">
        <f t="shared" si="161"/>
        <v>1</v>
      </c>
      <c r="H1135" s="5">
        <f t="shared" si="156"/>
        <v>9.1335322413688125E-4</v>
      </c>
      <c r="I1135" s="4">
        <f t="shared" si="157"/>
        <v>4.2925034493331293E-3</v>
      </c>
      <c r="J1135" s="4">
        <f t="shared" si="158"/>
        <v>1.9768856447688566E-3</v>
      </c>
      <c r="K1135" s="4">
        <f t="shared" si="159"/>
        <v>1.6865992026985587E-3</v>
      </c>
      <c r="L1135" s="4">
        <f t="shared" si="160"/>
        <v>0.16860465116279069</v>
      </c>
      <c r="M1135" s="3">
        <f t="shared" si="153"/>
        <v>3</v>
      </c>
      <c r="N1135" s="3">
        <f t="shared" si="154"/>
        <v>7</v>
      </c>
      <c r="O1135" s="3">
        <f t="shared" si="155"/>
        <v>4</v>
      </c>
    </row>
    <row r="1136" spans="1:15" x14ac:dyDescent="0.2">
      <c r="A1136" s="2">
        <v>45359</v>
      </c>
      <c r="B1136" s="3">
        <v>32867</v>
      </c>
      <c r="C1136" s="3">
        <v>32905</v>
      </c>
      <c r="D1136" s="3">
        <v>32970</v>
      </c>
      <c r="E1136" s="3">
        <v>32780</v>
      </c>
      <c r="F1136" s="3">
        <v>2770</v>
      </c>
      <c r="G1136" s="7">
        <f t="shared" si="161"/>
        <v>0</v>
      </c>
      <c r="H1136" s="5">
        <f t="shared" si="156"/>
        <v>-2.737559313785132E-4</v>
      </c>
      <c r="I1136" s="4">
        <f t="shared" si="157"/>
        <v>4.5794535185467869E-3</v>
      </c>
      <c r="J1136" s="4">
        <f t="shared" si="158"/>
        <v>7.5884049172863859E-4</v>
      </c>
      <c r="K1136" s="4">
        <f t="shared" si="159"/>
        <v>3.5205877850910763E-3</v>
      </c>
      <c r="L1136" s="4">
        <f t="shared" si="160"/>
        <v>-0.31094527363184077</v>
      </c>
      <c r="M1136" s="3">
        <f t="shared" si="153"/>
        <v>3</v>
      </c>
      <c r="N1136" s="3">
        <f t="shared" si="154"/>
        <v>8</v>
      </c>
      <c r="O1136" s="3">
        <f t="shared" si="155"/>
        <v>5</v>
      </c>
    </row>
    <row r="1137" spans="1:15" x14ac:dyDescent="0.2">
      <c r="A1137" s="2">
        <v>45362</v>
      </c>
      <c r="B1137" s="3">
        <v>32806</v>
      </c>
      <c r="C1137" s="3">
        <v>32750</v>
      </c>
      <c r="D1137" s="3">
        <v>32870</v>
      </c>
      <c r="E1137" s="3">
        <v>32560</v>
      </c>
      <c r="F1137" s="3">
        <v>38730</v>
      </c>
      <c r="G1137" s="7">
        <f t="shared" si="161"/>
        <v>0</v>
      </c>
      <c r="H1137" s="5">
        <f t="shared" si="156"/>
        <v>-1.8559649496455411E-3</v>
      </c>
      <c r="I1137" s="4">
        <f t="shared" si="157"/>
        <v>-4.7105303145418631E-3</v>
      </c>
      <c r="J1137" s="4">
        <f t="shared" si="158"/>
        <v>-3.0330603579011221E-3</v>
      </c>
      <c r="K1137" s="4">
        <f t="shared" si="159"/>
        <v>-6.7114093959731542E-3</v>
      </c>
      <c r="L1137" s="4">
        <f t="shared" si="160"/>
        <v>12.981949458483754</v>
      </c>
      <c r="M1137" s="3">
        <f t="shared" si="153"/>
        <v>3</v>
      </c>
      <c r="N1137" s="3">
        <f t="shared" si="154"/>
        <v>11</v>
      </c>
      <c r="O1137" s="3">
        <f t="shared" si="155"/>
        <v>1</v>
      </c>
    </row>
    <row r="1138" spans="1:15" x14ac:dyDescent="0.2">
      <c r="A1138" s="2">
        <v>45363</v>
      </c>
      <c r="B1138" s="3">
        <v>33235</v>
      </c>
      <c r="C1138" s="3">
        <v>32945</v>
      </c>
      <c r="D1138" s="3">
        <v>33320</v>
      </c>
      <c r="E1138" s="3">
        <v>32815</v>
      </c>
      <c r="F1138" s="3">
        <v>45480</v>
      </c>
      <c r="G1138" s="7">
        <f t="shared" si="161"/>
        <v>1</v>
      </c>
      <c r="H1138" s="5">
        <f t="shared" si="156"/>
        <v>1.3076876181186369E-2</v>
      </c>
      <c r="I1138" s="4">
        <f t="shared" si="157"/>
        <v>5.9541984732824427E-3</v>
      </c>
      <c r="J1138" s="4">
        <f t="shared" si="158"/>
        <v>1.3690295101916642E-2</v>
      </c>
      <c r="K1138" s="4">
        <f t="shared" si="159"/>
        <v>7.8316953316953323E-3</v>
      </c>
      <c r="L1138" s="4">
        <f t="shared" si="160"/>
        <v>0.17428350116189001</v>
      </c>
      <c r="M1138" s="3">
        <f t="shared" si="153"/>
        <v>3</v>
      </c>
      <c r="N1138" s="3">
        <f t="shared" si="154"/>
        <v>12</v>
      </c>
      <c r="O1138" s="3">
        <f t="shared" si="155"/>
        <v>2</v>
      </c>
    </row>
    <row r="1139" spans="1:15" x14ac:dyDescent="0.2">
      <c r="A1139" s="2">
        <v>45364</v>
      </c>
      <c r="B1139" s="3">
        <v>33392</v>
      </c>
      <c r="C1139" s="3">
        <v>33285</v>
      </c>
      <c r="D1139" s="3">
        <v>33515</v>
      </c>
      <c r="E1139" s="3">
        <v>33260</v>
      </c>
      <c r="F1139" s="3">
        <v>29010</v>
      </c>
      <c r="G1139" s="7">
        <f t="shared" si="161"/>
        <v>1</v>
      </c>
      <c r="H1139" s="5">
        <f t="shared" si="156"/>
        <v>4.7239356100496465E-3</v>
      </c>
      <c r="I1139" s="4">
        <f t="shared" si="157"/>
        <v>1.0320230687509485E-2</v>
      </c>
      <c r="J1139" s="4">
        <f t="shared" si="158"/>
        <v>5.8523409363745501E-3</v>
      </c>
      <c r="K1139" s="4">
        <f t="shared" si="159"/>
        <v>1.3560871552643608E-2</v>
      </c>
      <c r="L1139" s="4">
        <f t="shared" si="160"/>
        <v>-0.36213720316622694</v>
      </c>
      <c r="M1139" s="3">
        <f t="shared" si="153"/>
        <v>3</v>
      </c>
      <c r="N1139" s="3">
        <f t="shared" si="154"/>
        <v>13</v>
      </c>
      <c r="O1139" s="3">
        <f t="shared" si="155"/>
        <v>3</v>
      </c>
    </row>
    <row r="1140" spans="1:15" x14ac:dyDescent="0.2">
      <c r="A1140" s="2">
        <v>45365</v>
      </c>
      <c r="B1140" s="3">
        <v>33276</v>
      </c>
      <c r="C1140" s="3">
        <v>33450</v>
      </c>
      <c r="D1140" s="3">
        <v>33505</v>
      </c>
      <c r="E1140" s="3">
        <v>33105</v>
      </c>
      <c r="F1140" s="3">
        <v>16440</v>
      </c>
      <c r="G1140" s="7">
        <f t="shared" si="161"/>
        <v>0</v>
      </c>
      <c r="H1140" s="5">
        <f t="shared" si="156"/>
        <v>-3.4738859607091519E-3</v>
      </c>
      <c r="I1140" s="4">
        <f t="shared" si="157"/>
        <v>4.9571879224876072E-3</v>
      </c>
      <c r="J1140" s="4">
        <f t="shared" si="158"/>
        <v>-2.983738624496494E-4</v>
      </c>
      <c r="K1140" s="4">
        <f t="shared" si="159"/>
        <v>-4.6602525556223694E-3</v>
      </c>
      <c r="L1140" s="4">
        <f t="shared" si="160"/>
        <v>-0.43329886246122029</v>
      </c>
      <c r="M1140" s="3">
        <f t="shared" si="153"/>
        <v>3</v>
      </c>
      <c r="N1140" s="3">
        <f t="shared" si="154"/>
        <v>14</v>
      </c>
      <c r="O1140" s="3">
        <f t="shared" si="155"/>
        <v>4</v>
      </c>
    </row>
    <row r="1141" spans="1:15" x14ac:dyDescent="0.2">
      <c r="A1141" s="2">
        <v>45366</v>
      </c>
      <c r="B1141" s="3">
        <v>33422</v>
      </c>
      <c r="C1141" s="3">
        <v>33220</v>
      </c>
      <c r="D1141" s="3">
        <v>33520</v>
      </c>
      <c r="E1141" s="3">
        <v>33175</v>
      </c>
      <c r="F1141" s="3">
        <v>19060</v>
      </c>
      <c r="G1141" s="7">
        <f t="shared" si="161"/>
        <v>1</v>
      </c>
      <c r="H1141" s="5">
        <f t="shared" si="156"/>
        <v>4.3875465801178027E-3</v>
      </c>
      <c r="I1141" s="4">
        <f t="shared" si="157"/>
        <v>-6.8759342301943195E-3</v>
      </c>
      <c r="J1141" s="4">
        <f t="shared" si="158"/>
        <v>4.4769437397403371E-4</v>
      </c>
      <c r="K1141" s="4">
        <f t="shared" si="159"/>
        <v>2.1144842168856668E-3</v>
      </c>
      <c r="L1141" s="4">
        <f t="shared" si="160"/>
        <v>0.15936739659367397</v>
      </c>
      <c r="M1141" s="3">
        <f t="shared" si="153"/>
        <v>3</v>
      </c>
      <c r="N1141" s="3">
        <f t="shared" si="154"/>
        <v>15</v>
      </c>
      <c r="O1141" s="3">
        <f t="shared" si="155"/>
        <v>5</v>
      </c>
    </row>
    <row r="1142" spans="1:15" x14ac:dyDescent="0.2">
      <c r="A1142" s="2">
        <v>45369</v>
      </c>
      <c r="B1142" s="3">
        <v>33603</v>
      </c>
      <c r="C1142" s="3">
        <v>33520</v>
      </c>
      <c r="D1142" s="3">
        <v>33650</v>
      </c>
      <c r="E1142" s="3">
        <v>33355</v>
      </c>
      <c r="F1142" s="3">
        <v>12700</v>
      </c>
      <c r="G1142" s="7">
        <f t="shared" si="161"/>
        <v>1</v>
      </c>
      <c r="H1142" s="5">
        <f t="shared" si="156"/>
        <v>5.4155945185805753E-3</v>
      </c>
      <c r="I1142" s="4">
        <f t="shared" si="157"/>
        <v>9.0307043949428064E-3</v>
      </c>
      <c r="J1142" s="4">
        <f t="shared" si="158"/>
        <v>3.8782816229116944E-3</v>
      </c>
      <c r="K1142" s="4">
        <f t="shared" si="159"/>
        <v>5.4257724189902034E-3</v>
      </c>
      <c r="L1142" s="4">
        <f t="shared" si="160"/>
        <v>-0.33368310598111228</v>
      </c>
      <c r="M1142" s="3">
        <f t="shared" si="153"/>
        <v>3</v>
      </c>
      <c r="N1142" s="3">
        <f t="shared" si="154"/>
        <v>18</v>
      </c>
      <c r="O1142" s="3">
        <f t="shared" si="155"/>
        <v>1</v>
      </c>
    </row>
    <row r="1143" spans="1:15" x14ac:dyDescent="0.2">
      <c r="A1143" s="2">
        <v>45370</v>
      </c>
      <c r="B1143" s="3">
        <v>33920</v>
      </c>
      <c r="C1143" s="3">
        <v>33395</v>
      </c>
      <c r="D1143" s="3">
        <v>33795</v>
      </c>
      <c r="E1143" s="3">
        <v>33365</v>
      </c>
      <c r="F1143" s="3">
        <v>12880</v>
      </c>
      <c r="G1143" s="7">
        <f t="shared" si="161"/>
        <v>1</v>
      </c>
      <c r="H1143" s="5">
        <f t="shared" si="156"/>
        <v>9.4336815165312615E-3</v>
      </c>
      <c r="I1143" s="4">
        <f t="shared" si="157"/>
        <v>-3.7291169451073984E-3</v>
      </c>
      <c r="J1143" s="4">
        <f t="shared" si="158"/>
        <v>4.309063893016345E-3</v>
      </c>
      <c r="K1143" s="4">
        <f t="shared" si="159"/>
        <v>2.9980512666766604E-4</v>
      </c>
      <c r="L1143" s="4">
        <f t="shared" si="160"/>
        <v>1.4173228346456693E-2</v>
      </c>
      <c r="M1143" s="3">
        <f t="shared" si="153"/>
        <v>3</v>
      </c>
      <c r="N1143" s="3">
        <f t="shared" si="154"/>
        <v>19</v>
      </c>
      <c r="O1143" s="3">
        <f t="shared" si="155"/>
        <v>2</v>
      </c>
    </row>
    <row r="1144" spans="1:15" x14ac:dyDescent="0.2">
      <c r="A1144" s="2">
        <v>45371</v>
      </c>
      <c r="B1144" s="3">
        <v>33944</v>
      </c>
      <c r="C1144" s="3">
        <v>33900</v>
      </c>
      <c r="D1144" s="3">
        <v>34000</v>
      </c>
      <c r="E1144" s="3">
        <v>33900</v>
      </c>
      <c r="F1144" s="3">
        <v>10</v>
      </c>
      <c r="G1144" s="7">
        <f t="shared" si="161"/>
        <v>1</v>
      </c>
      <c r="H1144" s="5">
        <f t="shared" si="156"/>
        <v>7.0754716981132071E-4</v>
      </c>
      <c r="I1144" s="4">
        <f t="shared" si="157"/>
        <v>1.5122024255128014E-2</v>
      </c>
      <c r="J1144" s="4">
        <f t="shared" si="158"/>
        <v>6.0659860926172513E-3</v>
      </c>
      <c r="K1144" s="4">
        <f t="shared" si="159"/>
        <v>1.6034766971377193E-2</v>
      </c>
      <c r="L1144" s="4">
        <f t="shared" si="160"/>
        <v>-0.99922360248447206</v>
      </c>
      <c r="M1144" s="3">
        <f t="shared" si="153"/>
        <v>3</v>
      </c>
      <c r="N1144" s="3">
        <f t="shared" si="154"/>
        <v>20</v>
      </c>
      <c r="O1144" s="3">
        <f t="shared" si="155"/>
        <v>3</v>
      </c>
    </row>
    <row r="1145" spans="1:15" x14ac:dyDescent="0.2">
      <c r="A1145" s="2">
        <v>45372</v>
      </c>
      <c r="B1145" s="3">
        <v>33984</v>
      </c>
      <c r="C1145" s="3">
        <v>34190</v>
      </c>
      <c r="D1145" s="3">
        <v>34190</v>
      </c>
      <c r="E1145" s="3">
        <v>33960</v>
      </c>
      <c r="F1145" s="3">
        <v>10</v>
      </c>
      <c r="G1145" s="7">
        <f t="shared" si="161"/>
        <v>1</v>
      </c>
      <c r="H1145" s="5">
        <f t="shared" si="156"/>
        <v>1.1784115012962526E-3</v>
      </c>
      <c r="I1145" s="4">
        <f t="shared" si="157"/>
        <v>8.5545722713864306E-3</v>
      </c>
      <c r="J1145" s="4">
        <f t="shared" si="158"/>
        <v>5.5882352941176473E-3</v>
      </c>
      <c r="K1145" s="4">
        <f t="shared" si="159"/>
        <v>1.7699115044247787E-3</v>
      </c>
      <c r="L1145" s="4">
        <f t="shared" si="160"/>
        <v>0</v>
      </c>
      <c r="M1145" s="3">
        <f t="shared" si="153"/>
        <v>3</v>
      </c>
      <c r="N1145" s="3">
        <f t="shared" si="154"/>
        <v>21</v>
      </c>
      <c r="O1145" s="3">
        <f t="shared" si="155"/>
        <v>4</v>
      </c>
    </row>
    <row r="1146" spans="1:15" x14ac:dyDescent="0.2">
      <c r="A1146" s="2">
        <v>45373</v>
      </c>
      <c r="B1146" s="3">
        <v>33972</v>
      </c>
      <c r="C1146" s="3">
        <v>33850</v>
      </c>
      <c r="D1146" s="3">
        <v>34010</v>
      </c>
      <c r="E1146" s="3">
        <v>33835</v>
      </c>
      <c r="F1146" s="3">
        <v>20</v>
      </c>
      <c r="G1146" s="7">
        <f t="shared" si="161"/>
        <v>0</v>
      </c>
      <c r="H1146" s="5">
        <f t="shared" si="156"/>
        <v>-3.5310734463276836E-4</v>
      </c>
      <c r="I1146" s="4">
        <f t="shared" si="157"/>
        <v>-9.9444281953787652E-3</v>
      </c>
      <c r="J1146" s="4">
        <f t="shared" si="158"/>
        <v>-5.264697279906405E-3</v>
      </c>
      <c r="K1146" s="4">
        <f t="shared" si="159"/>
        <v>-3.6808009422850414E-3</v>
      </c>
      <c r="L1146" s="4">
        <f t="shared" si="160"/>
        <v>1</v>
      </c>
      <c r="M1146" s="3">
        <f t="shared" si="153"/>
        <v>3</v>
      </c>
      <c r="N1146" s="3">
        <f t="shared" si="154"/>
        <v>22</v>
      </c>
      <c r="O1146" s="3">
        <f t="shared" si="155"/>
        <v>5</v>
      </c>
    </row>
    <row r="1147" spans="1:15" x14ac:dyDescent="0.2">
      <c r="A1147" s="2">
        <v>45376</v>
      </c>
      <c r="B1147" s="3">
        <v>34258</v>
      </c>
      <c r="C1147" s="3">
        <v>34110</v>
      </c>
      <c r="D1147" s="3">
        <v>34225</v>
      </c>
      <c r="E1147" s="3">
        <v>34040</v>
      </c>
      <c r="F1147" s="3">
        <v>20</v>
      </c>
      <c r="G1147" s="7">
        <f t="shared" si="161"/>
        <v>1</v>
      </c>
      <c r="H1147" s="5">
        <f t="shared" si="156"/>
        <v>8.4186977510891329E-3</v>
      </c>
      <c r="I1147" s="4">
        <f t="shared" si="157"/>
        <v>7.6809453471196453E-3</v>
      </c>
      <c r="J1147" s="4">
        <f t="shared" si="158"/>
        <v>6.3216700970302854E-3</v>
      </c>
      <c r="K1147" s="4">
        <f t="shared" si="159"/>
        <v>6.0588148367075514E-3</v>
      </c>
      <c r="L1147" s="4">
        <f t="shared" si="160"/>
        <v>0</v>
      </c>
      <c r="M1147" s="3">
        <f t="shared" si="153"/>
        <v>3</v>
      </c>
      <c r="N1147" s="3">
        <f t="shared" si="154"/>
        <v>25</v>
      </c>
      <c r="O1147" s="3">
        <f t="shared" si="155"/>
        <v>1</v>
      </c>
    </row>
    <row r="1148" spans="1:15" x14ac:dyDescent="0.2">
      <c r="A1148" s="2">
        <v>45377</v>
      </c>
      <c r="B1148" s="3">
        <v>34308</v>
      </c>
      <c r="C1148" s="3">
        <v>34285</v>
      </c>
      <c r="D1148" s="3">
        <v>34380</v>
      </c>
      <c r="E1148" s="3">
        <v>34285</v>
      </c>
      <c r="F1148" s="3">
        <v>10</v>
      </c>
      <c r="G1148" s="7">
        <f t="shared" si="161"/>
        <v>1</v>
      </c>
      <c r="H1148" s="5">
        <f t="shared" si="156"/>
        <v>1.4595131064276958E-3</v>
      </c>
      <c r="I1148" s="4">
        <f t="shared" si="157"/>
        <v>5.1304602755790091E-3</v>
      </c>
      <c r="J1148" s="4">
        <f t="shared" si="158"/>
        <v>4.528853177501826E-3</v>
      </c>
      <c r="K1148" s="4">
        <f t="shared" si="159"/>
        <v>7.197414806110458E-3</v>
      </c>
      <c r="L1148" s="4">
        <f t="shared" si="160"/>
        <v>-0.5</v>
      </c>
      <c r="M1148" s="3">
        <f t="shared" si="153"/>
        <v>3</v>
      </c>
      <c r="N1148" s="3">
        <f t="shared" si="154"/>
        <v>26</v>
      </c>
      <c r="O1148" s="3">
        <f t="shared" si="155"/>
        <v>2</v>
      </c>
    </row>
    <row r="1149" spans="1:15" x14ac:dyDescent="0.2">
      <c r="A1149" s="2">
        <v>45378</v>
      </c>
      <c r="B1149" s="3">
        <v>34359</v>
      </c>
      <c r="C1149" s="3">
        <v>34395</v>
      </c>
      <c r="D1149" s="3">
        <v>34395</v>
      </c>
      <c r="E1149" s="3">
        <v>34395</v>
      </c>
      <c r="F1149" s="3">
        <v>10</v>
      </c>
      <c r="G1149" s="7">
        <f t="shared" si="161"/>
        <v>1</v>
      </c>
      <c r="H1149" s="5">
        <f t="shared" si="156"/>
        <v>1.4865337530605106E-3</v>
      </c>
      <c r="I1149" s="4">
        <f t="shared" si="157"/>
        <v>3.2084001750036458E-3</v>
      </c>
      <c r="J1149" s="4">
        <f t="shared" si="158"/>
        <v>4.3630017452006982E-4</v>
      </c>
      <c r="K1149" s="4">
        <f t="shared" si="159"/>
        <v>3.2084001750036458E-3</v>
      </c>
      <c r="L1149" s="4">
        <f t="shared" si="160"/>
        <v>0</v>
      </c>
      <c r="M1149" s="3">
        <f t="shared" si="153"/>
        <v>3</v>
      </c>
      <c r="N1149" s="3">
        <f t="shared" si="154"/>
        <v>27</v>
      </c>
      <c r="O1149" s="3">
        <f t="shared" si="155"/>
        <v>3</v>
      </c>
    </row>
    <row r="1150" spans="1:15" x14ac:dyDescent="0.2">
      <c r="A1150" s="2">
        <v>45379</v>
      </c>
      <c r="B1150" s="3">
        <v>34359</v>
      </c>
      <c r="C1150" s="3">
        <v>34415</v>
      </c>
      <c r="D1150" s="3">
        <v>34415</v>
      </c>
      <c r="E1150" s="3">
        <v>34375</v>
      </c>
      <c r="F1150" s="3">
        <v>10</v>
      </c>
      <c r="G1150" s="7">
        <f t="shared" si="161"/>
        <v>1</v>
      </c>
      <c r="H1150" s="5">
        <f t="shared" si="156"/>
        <v>0</v>
      </c>
      <c r="I1150" s="4">
        <f t="shared" si="157"/>
        <v>5.8147986625963074E-4</v>
      </c>
      <c r="J1150" s="4">
        <f t="shared" si="158"/>
        <v>5.8147986625963074E-4</v>
      </c>
      <c r="K1150" s="4">
        <f t="shared" si="159"/>
        <v>-5.8147986625963074E-4</v>
      </c>
      <c r="L1150" s="4">
        <f t="shared" si="160"/>
        <v>0</v>
      </c>
      <c r="M1150" s="3">
        <f t="shared" si="153"/>
        <v>3</v>
      </c>
      <c r="N1150" s="3">
        <f t="shared" si="154"/>
        <v>28</v>
      </c>
      <c r="O1150" s="3">
        <f t="shared" si="155"/>
        <v>4</v>
      </c>
    </row>
    <row r="1151" spans="1:15" x14ac:dyDescent="0.2">
      <c r="A1151" s="2">
        <v>45384</v>
      </c>
      <c r="B1151" s="3">
        <v>33913</v>
      </c>
      <c r="C1151" s="3">
        <v>34095</v>
      </c>
      <c r="D1151" s="3">
        <v>34095</v>
      </c>
      <c r="E1151" s="3">
        <v>33900</v>
      </c>
      <c r="F1151" s="3">
        <v>10</v>
      </c>
      <c r="G1151" s="7">
        <f t="shared" si="161"/>
        <v>0</v>
      </c>
      <c r="H1151" s="5">
        <f t="shared" si="156"/>
        <v>-1.2980587327919905E-2</v>
      </c>
      <c r="I1151" s="4">
        <f t="shared" si="157"/>
        <v>-9.2982711027168388E-3</v>
      </c>
      <c r="J1151" s="4">
        <f t="shared" si="158"/>
        <v>-9.2982711027168388E-3</v>
      </c>
      <c r="K1151" s="4">
        <f t="shared" si="159"/>
        <v>-1.3818181818181818E-2</v>
      </c>
      <c r="L1151" s="4">
        <f t="shared" si="160"/>
        <v>0</v>
      </c>
      <c r="M1151" s="3">
        <f t="shared" si="153"/>
        <v>4</v>
      </c>
      <c r="N1151" s="3">
        <f t="shared" si="154"/>
        <v>2</v>
      </c>
      <c r="O1151" s="3">
        <f t="shared" si="155"/>
        <v>2</v>
      </c>
    </row>
    <row r="1152" spans="1:15" x14ac:dyDescent="0.2">
      <c r="A1152" s="2">
        <v>45385</v>
      </c>
      <c r="B1152" s="3">
        <v>34068</v>
      </c>
      <c r="C1152" s="3">
        <v>33995</v>
      </c>
      <c r="D1152" s="3">
        <v>34180</v>
      </c>
      <c r="E1152" s="3">
        <v>33995</v>
      </c>
      <c r="F1152" s="3">
        <v>10</v>
      </c>
      <c r="G1152" s="7">
        <f t="shared" si="161"/>
        <v>1</v>
      </c>
      <c r="H1152" s="5">
        <f t="shared" si="156"/>
        <v>4.5705186801521542E-3</v>
      </c>
      <c r="I1152" s="4">
        <f t="shared" si="157"/>
        <v>-2.9329813755682652E-3</v>
      </c>
      <c r="J1152" s="4">
        <f t="shared" si="158"/>
        <v>2.4930341692330255E-3</v>
      </c>
      <c r="K1152" s="4">
        <f t="shared" si="159"/>
        <v>2.8023598820058997E-3</v>
      </c>
      <c r="L1152" s="4">
        <f t="shared" si="160"/>
        <v>0</v>
      </c>
      <c r="M1152" s="3">
        <f t="shared" si="153"/>
        <v>4</v>
      </c>
      <c r="N1152" s="3">
        <f t="shared" si="154"/>
        <v>3</v>
      </c>
      <c r="O1152" s="3">
        <f t="shared" si="155"/>
        <v>3</v>
      </c>
    </row>
    <row r="1153" spans="1:15" x14ac:dyDescent="0.2">
      <c r="A1153" s="2">
        <v>45386</v>
      </c>
      <c r="B1153" s="3">
        <v>34018</v>
      </c>
      <c r="C1153" s="3">
        <v>34030</v>
      </c>
      <c r="D1153" s="3">
        <v>34065</v>
      </c>
      <c r="E1153" s="3">
        <v>34030</v>
      </c>
      <c r="F1153" s="3">
        <v>10</v>
      </c>
      <c r="G1153" s="7">
        <f t="shared" si="161"/>
        <v>0</v>
      </c>
      <c r="H1153" s="5">
        <f t="shared" si="156"/>
        <v>-1.4676529294352471E-3</v>
      </c>
      <c r="I1153" s="4">
        <f t="shared" si="157"/>
        <v>1.0295631710545668E-3</v>
      </c>
      <c r="J1153" s="4">
        <f t="shared" si="158"/>
        <v>-3.3645406670567584E-3</v>
      </c>
      <c r="K1153" s="4">
        <f t="shared" si="159"/>
        <v>1.0295631710545668E-3</v>
      </c>
      <c r="L1153" s="4">
        <f t="shared" si="160"/>
        <v>0</v>
      </c>
      <c r="M1153" s="3">
        <f t="shared" si="153"/>
        <v>4</v>
      </c>
      <c r="N1153" s="3">
        <f t="shared" si="154"/>
        <v>4</v>
      </c>
      <c r="O1153" s="3">
        <f t="shared" si="155"/>
        <v>4</v>
      </c>
    </row>
    <row r="1154" spans="1:15" x14ac:dyDescent="0.2">
      <c r="A1154" s="2">
        <v>45387</v>
      </c>
      <c r="B1154" s="3">
        <v>33557</v>
      </c>
      <c r="C1154" s="3">
        <v>33595</v>
      </c>
      <c r="D1154" s="3">
        <v>33595</v>
      </c>
      <c r="E1154" s="3">
        <v>33400</v>
      </c>
      <c r="F1154" s="3">
        <v>10</v>
      </c>
      <c r="G1154" s="7">
        <f t="shared" si="161"/>
        <v>0</v>
      </c>
      <c r="H1154" s="5">
        <f t="shared" si="156"/>
        <v>-1.35516491269328E-2</v>
      </c>
      <c r="I1154" s="4">
        <f t="shared" si="157"/>
        <v>-1.2782838671760211E-2</v>
      </c>
      <c r="J1154" s="4">
        <f t="shared" si="158"/>
        <v>-1.3797152502568619E-2</v>
      </c>
      <c r="K1154" s="4">
        <f t="shared" si="159"/>
        <v>-1.8513076697032029E-2</v>
      </c>
      <c r="L1154" s="4">
        <f t="shared" si="160"/>
        <v>0</v>
      </c>
      <c r="M1154" s="3">
        <f t="shared" ref="M1154:M1217" si="162">MONTH(A1154)</f>
        <v>4</v>
      </c>
      <c r="N1154" s="3">
        <f t="shared" ref="N1154:N1217" si="163">DAY(A1154)</f>
        <v>5</v>
      </c>
      <c r="O1154" s="3">
        <f t="shared" ref="O1154:O1217" si="164">WEEKDAY(A1154,2)</f>
        <v>5</v>
      </c>
    </row>
    <row r="1155" spans="1:15" x14ac:dyDescent="0.2">
      <c r="A1155" s="2">
        <v>45390</v>
      </c>
      <c r="B1155" s="3">
        <v>33867</v>
      </c>
      <c r="C1155" s="3">
        <v>33695</v>
      </c>
      <c r="D1155" s="3">
        <v>33850</v>
      </c>
      <c r="E1155" s="3">
        <v>33695</v>
      </c>
      <c r="F1155" s="3">
        <v>10</v>
      </c>
      <c r="G1155" s="7">
        <f t="shared" si="161"/>
        <v>1</v>
      </c>
      <c r="H1155" s="5">
        <f t="shared" ref="H1155:H1218" si="165">(B1155-B1154)/B1154</f>
        <v>9.2380129332181073E-3</v>
      </c>
      <c r="I1155" s="4">
        <f t="shared" ref="I1155:I1218" si="166">(C1155-C1154)/C1154</f>
        <v>2.9766334275933919E-3</v>
      </c>
      <c r="J1155" s="4">
        <f t="shared" ref="J1155:J1218" si="167">(D1155-D1154)/D1154</f>
        <v>7.5904152403631492E-3</v>
      </c>
      <c r="K1155" s="4">
        <f t="shared" ref="K1155:K1218" si="168">(E1155-E1154)/E1154</f>
        <v>8.8323353293413166E-3</v>
      </c>
      <c r="L1155" s="4">
        <f t="shared" ref="L1155:L1218" si="169">(F1155-F1154)/F1154</f>
        <v>0</v>
      </c>
      <c r="M1155" s="3">
        <f t="shared" si="162"/>
        <v>4</v>
      </c>
      <c r="N1155" s="3">
        <f t="shared" si="163"/>
        <v>8</v>
      </c>
      <c r="O1155" s="3">
        <f t="shared" si="164"/>
        <v>1</v>
      </c>
    </row>
    <row r="1156" spans="1:15" x14ac:dyDescent="0.2">
      <c r="A1156" s="2">
        <v>45391</v>
      </c>
      <c r="B1156" s="3">
        <v>33482</v>
      </c>
      <c r="C1156" s="3">
        <v>33500</v>
      </c>
      <c r="D1156" s="3">
        <v>33745</v>
      </c>
      <c r="E1156" s="3">
        <v>33420</v>
      </c>
      <c r="F1156" s="3">
        <v>20</v>
      </c>
      <c r="G1156" s="7">
        <f t="shared" ref="G1156:G1219" si="170">IF(H1156&lt;0, 0, 1)</f>
        <v>0</v>
      </c>
      <c r="H1156" s="5">
        <f t="shared" si="165"/>
        <v>-1.1367998346472967E-2</v>
      </c>
      <c r="I1156" s="4">
        <f t="shared" si="166"/>
        <v>-5.7872087846861549E-3</v>
      </c>
      <c r="J1156" s="4">
        <f t="shared" si="167"/>
        <v>-3.1019202363367798E-3</v>
      </c>
      <c r="K1156" s="4">
        <f t="shared" si="168"/>
        <v>-8.1614482860958605E-3</v>
      </c>
      <c r="L1156" s="4">
        <f t="shared" si="169"/>
        <v>1</v>
      </c>
      <c r="M1156" s="3">
        <f t="shared" si="162"/>
        <v>4</v>
      </c>
      <c r="N1156" s="3">
        <f t="shared" si="163"/>
        <v>9</v>
      </c>
      <c r="O1156" s="3">
        <f t="shared" si="164"/>
        <v>2</v>
      </c>
    </row>
    <row r="1157" spans="1:15" x14ac:dyDescent="0.2">
      <c r="A1157" s="2">
        <v>45392</v>
      </c>
      <c r="B1157" s="3">
        <v>33572</v>
      </c>
      <c r="C1157" s="3">
        <v>33585</v>
      </c>
      <c r="D1157" s="3">
        <v>33610</v>
      </c>
      <c r="E1157" s="3">
        <v>33300</v>
      </c>
      <c r="F1157" s="3">
        <v>10</v>
      </c>
      <c r="G1157" s="7">
        <f t="shared" si="170"/>
        <v>1</v>
      </c>
      <c r="H1157" s="5">
        <f t="shared" si="165"/>
        <v>2.6880114688489338E-3</v>
      </c>
      <c r="I1157" s="4">
        <f t="shared" si="166"/>
        <v>2.5373134328358208E-3</v>
      </c>
      <c r="J1157" s="4">
        <f t="shared" si="167"/>
        <v>-4.0005926803970962E-3</v>
      </c>
      <c r="K1157" s="4">
        <f t="shared" si="168"/>
        <v>-3.5906642728904849E-3</v>
      </c>
      <c r="L1157" s="4">
        <f t="shared" si="169"/>
        <v>-0.5</v>
      </c>
      <c r="M1157" s="3">
        <f t="shared" si="162"/>
        <v>4</v>
      </c>
      <c r="N1157" s="3">
        <f t="shared" si="163"/>
        <v>10</v>
      </c>
      <c r="O1157" s="3">
        <f t="shared" si="164"/>
        <v>3</v>
      </c>
    </row>
    <row r="1158" spans="1:15" x14ac:dyDescent="0.2">
      <c r="A1158" s="2">
        <v>45393</v>
      </c>
      <c r="B1158" s="3">
        <v>33227</v>
      </c>
      <c r="C1158" s="3">
        <v>33600</v>
      </c>
      <c r="D1158" s="3">
        <v>33620</v>
      </c>
      <c r="E1158" s="3">
        <v>33100</v>
      </c>
      <c r="F1158" s="3">
        <v>10</v>
      </c>
      <c r="G1158" s="7">
        <f t="shared" si="170"/>
        <v>0</v>
      </c>
      <c r="H1158" s="5">
        <f t="shared" si="165"/>
        <v>-1.0276420826879542E-2</v>
      </c>
      <c r="I1158" s="4">
        <f t="shared" si="166"/>
        <v>4.4662795891022776E-4</v>
      </c>
      <c r="J1158" s="4">
        <f t="shared" si="167"/>
        <v>2.9753049687592978E-4</v>
      </c>
      <c r="K1158" s="4">
        <f t="shared" si="168"/>
        <v>-6.006006006006006E-3</v>
      </c>
      <c r="L1158" s="4">
        <f t="shared" si="169"/>
        <v>0</v>
      </c>
      <c r="M1158" s="3">
        <f t="shared" si="162"/>
        <v>4</v>
      </c>
      <c r="N1158" s="3">
        <f t="shared" si="163"/>
        <v>11</v>
      </c>
      <c r="O1158" s="3">
        <f t="shared" si="164"/>
        <v>4</v>
      </c>
    </row>
    <row r="1159" spans="1:15" x14ac:dyDescent="0.2">
      <c r="A1159" s="2">
        <v>45394</v>
      </c>
      <c r="B1159" s="3">
        <v>33274</v>
      </c>
      <c r="C1159" s="3">
        <v>33600</v>
      </c>
      <c r="D1159" s="3">
        <v>33620</v>
      </c>
      <c r="E1159" s="3">
        <v>33285</v>
      </c>
      <c r="F1159" s="3">
        <v>10</v>
      </c>
      <c r="G1159" s="7">
        <f t="shared" si="170"/>
        <v>1</v>
      </c>
      <c r="H1159" s="5">
        <f t="shared" si="165"/>
        <v>1.4145122942185572E-3</v>
      </c>
      <c r="I1159" s="4">
        <f t="shared" si="166"/>
        <v>0</v>
      </c>
      <c r="J1159" s="4">
        <f t="shared" si="167"/>
        <v>0</v>
      </c>
      <c r="K1159" s="4">
        <f t="shared" si="168"/>
        <v>5.5891238670694862E-3</v>
      </c>
      <c r="L1159" s="4">
        <f t="shared" si="169"/>
        <v>0</v>
      </c>
      <c r="M1159" s="3">
        <f t="shared" si="162"/>
        <v>4</v>
      </c>
      <c r="N1159" s="3">
        <f t="shared" si="163"/>
        <v>12</v>
      </c>
      <c r="O1159" s="3">
        <f t="shared" si="164"/>
        <v>5</v>
      </c>
    </row>
    <row r="1160" spans="1:15" x14ac:dyDescent="0.2">
      <c r="A1160" s="2">
        <v>45397</v>
      </c>
      <c r="B1160" s="3">
        <v>33463</v>
      </c>
      <c r="C1160" s="3">
        <v>33390</v>
      </c>
      <c r="D1160" s="3">
        <v>33785</v>
      </c>
      <c r="E1160" s="3">
        <v>33200</v>
      </c>
      <c r="F1160" s="3">
        <v>20</v>
      </c>
      <c r="G1160" s="7">
        <f t="shared" si="170"/>
        <v>1</v>
      </c>
      <c r="H1160" s="5">
        <f t="shared" si="165"/>
        <v>5.6801105968624149E-3</v>
      </c>
      <c r="I1160" s="4">
        <f t="shared" si="166"/>
        <v>-6.2500000000000003E-3</v>
      </c>
      <c r="J1160" s="4">
        <f t="shared" si="167"/>
        <v>4.907792980368828E-3</v>
      </c>
      <c r="K1160" s="4">
        <f t="shared" si="168"/>
        <v>-2.5537028691602825E-3</v>
      </c>
      <c r="L1160" s="4">
        <f t="shared" si="169"/>
        <v>1</v>
      </c>
      <c r="M1160" s="3">
        <f t="shared" si="162"/>
        <v>4</v>
      </c>
      <c r="N1160" s="3">
        <f t="shared" si="163"/>
        <v>15</v>
      </c>
      <c r="O1160" s="3">
        <f t="shared" si="164"/>
        <v>1</v>
      </c>
    </row>
    <row r="1161" spans="1:15" x14ac:dyDescent="0.2">
      <c r="A1161" s="2">
        <v>45398</v>
      </c>
      <c r="B1161" s="3">
        <v>32886</v>
      </c>
      <c r="C1161" s="3">
        <v>33100</v>
      </c>
      <c r="D1161" s="3">
        <v>33100</v>
      </c>
      <c r="E1161" s="3">
        <v>32860</v>
      </c>
      <c r="F1161" s="3">
        <v>10</v>
      </c>
      <c r="G1161" s="7">
        <f t="shared" si="170"/>
        <v>0</v>
      </c>
      <c r="H1161" s="5">
        <f t="shared" si="165"/>
        <v>-1.7242925021665721E-2</v>
      </c>
      <c r="I1161" s="4">
        <f t="shared" si="166"/>
        <v>-8.6852351003294404E-3</v>
      </c>
      <c r="J1161" s="4">
        <f t="shared" si="167"/>
        <v>-2.0275270090276749E-2</v>
      </c>
      <c r="K1161" s="4">
        <f t="shared" si="168"/>
        <v>-1.0240963855421687E-2</v>
      </c>
      <c r="L1161" s="4">
        <f t="shared" si="169"/>
        <v>-0.5</v>
      </c>
      <c r="M1161" s="3">
        <f t="shared" si="162"/>
        <v>4</v>
      </c>
      <c r="N1161" s="3">
        <f t="shared" si="163"/>
        <v>16</v>
      </c>
      <c r="O1161" s="3">
        <f t="shared" si="164"/>
        <v>2</v>
      </c>
    </row>
    <row r="1162" spans="1:15" x14ac:dyDescent="0.2">
      <c r="A1162" s="2">
        <v>45399</v>
      </c>
      <c r="B1162" s="3">
        <v>33114</v>
      </c>
      <c r="C1162" s="3">
        <v>32840</v>
      </c>
      <c r="D1162" s="3">
        <v>33290</v>
      </c>
      <c r="E1162" s="3">
        <v>32840</v>
      </c>
      <c r="F1162" s="3">
        <v>10</v>
      </c>
      <c r="G1162" s="7">
        <f t="shared" si="170"/>
        <v>1</v>
      </c>
      <c r="H1162" s="5">
        <f t="shared" si="165"/>
        <v>6.9330414158000368E-3</v>
      </c>
      <c r="I1162" s="4">
        <f t="shared" si="166"/>
        <v>-7.8549848942598196E-3</v>
      </c>
      <c r="J1162" s="4">
        <f t="shared" si="167"/>
        <v>5.7401812688821757E-3</v>
      </c>
      <c r="K1162" s="4">
        <f t="shared" si="168"/>
        <v>-6.0864272671941571E-4</v>
      </c>
      <c r="L1162" s="4">
        <f t="shared" si="169"/>
        <v>0</v>
      </c>
      <c r="M1162" s="3">
        <f t="shared" si="162"/>
        <v>4</v>
      </c>
      <c r="N1162" s="3">
        <f t="shared" si="163"/>
        <v>17</v>
      </c>
      <c r="O1162" s="3">
        <f t="shared" si="164"/>
        <v>3</v>
      </c>
    </row>
    <row r="1163" spans="1:15" x14ac:dyDescent="0.2">
      <c r="A1163" s="2">
        <v>45400</v>
      </c>
      <c r="B1163" s="3">
        <v>33346</v>
      </c>
      <c r="C1163" s="3">
        <v>33275</v>
      </c>
      <c r="D1163" s="3">
        <v>33320</v>
      </c>
      <c r="E1163" s="3">
        <v>33165</v>
      </c>
      <c r="F1163" s="3">
        <v>20</v>
      </c>
      <c r="G1163" s="7">
        <f t="shared" si="170"/>
        <v>1</v>
      </c>
      <c r="H1163" s="5">
        <f t="shared" si="165"/>
        <v>7.0061001389140542E-3</v>
      </c>
      <c r="I1163" s="4">
        <f t="shared" si="166"/>
        <v>1.3246041412911084E-2</v>
      </c>
      <c r="J1163" s="4">
        <f t="shared" si="167"/>
        <v>9.011715229798738E-4</v>
      </c>
      <c r="K1163" s="4">
        <f t="shared" si="168"/>
        <v>9.8964677222898902E-3</v>
      </c>
      <c r="L1163" s="4">
        <f t="shared" si="169"/>
        <v>1</v>
      </c>
      <c r="M1163" s="3">
        <f t="shared" si="162"/>
        <v>4</v>
      </c>
      <c r="N1163" s="3">
        <f t="shared" si="163"/>
        <v>18</v>
      </c>
      <c r="O1163" s="3">
        <f t="shared" si="164"/>
        <v>4</v>
      </c>
    </row>
    <row r="1164" spans="1:15" x14ac:dyDescent="0.2">
      <c r="A1164" s="2">
        <v>45401</v>
      </c>
      <c r="B1164" s="3">
        <v>33390</v>
      </c>
      <c r="C1164" s="3">
        <v>32800</v>
      </c>
      <c r="D1164" s="3">
        <v>33400</v>
      </c>
      <c r="E1164" s="3">
        <v>32800</v>
      </c>
      <c r="F1164" s="3">
        <v>10</v>
      </c>
      <c r="G1164" s="7">
        <f t="shared" si="170"/>
        <v>1</v>
      </c>
      <c r="H1164" s="5">
        <f t="shared" si="165"/>
        <v>1.3194985905355964E-3</v>
      </c>
      <c r="I1164" s="4">
        <f t="shared" si="166"/>
        <v>-1.4274981217129978E-2</v>
      </c>
      <c r="J1164" s="4">
        <f t="shared" si="167"/>
        <v>2.4009603841536613E-3</v>
      </c>
      <c r="K1164" s="4">
        <f t="shared" si="168"/>
        <v>-1.1005578169757274E-2</v>
      </c>
      <c r="L1164" s="4">
        <f t="shared" si="169"/>
        <v>-0.5</v>
      </c>
      <c r="M1164" s="3">
        <f t="shared" si="162"/>
        <v>4</v>
      </c>
      <c r="N1164" s="3">
        <f t="shared" si="163"/>
        <v>19</v>
      </c>
      <c r="O1164" s="3">
        <f t="shared" si="164"/>
        <v>5</v>
      </c>
    </row>
    <row r="1165" spans="1:15" x14ac:dyDescent="0.2">
      <c r="A1165" s="2">
        <v>45404</v>
      </c>
      <c r="B1165" s="3">
        <v>33655</v>
      </c>
      <c r="C1165" s="3">
        <v>33520</v>
      </c>
      <c r="D1165" s="3">
        <v>33840</v>
      </c>
      <c r="E1165" s="3">
        <v>33410</v>
      </c>
      <c r="F1165" s="3">
        <v>30</v>
      </c>
      <c r="G1165" s="7">
        <f t="shared" si="170"/>
        <v>1</v>
      </c>
      <c r="H1165" s="5">
        <f t="shared" si="165"/>
        <v>7.9365079365079361E-3</v>
      </c>
      <c r="I1165" s="4">
        <f t="shared" si="166"/>
        <v>2.1951219512195121E-2</v>
      </c>
      <c r="J1165" s="4">
        <f t="shared" si="167"/>
        <v>1.3173652694610778E-2</v>
      </c>
      <c r="K1165" s="4">
        <f t="shared" si="168"/>
        <v>1.8597560975609755E-2</v>
      </c>
      <c r="L1165" s="4">
        <f t="shared" si="169"/>
        <v>2</v>
      </c>
      <c r="M1165" s="3">
        <f t="shared" si="162"/>
        <v>4</v>
      </c>
      <c r="N1165" s="3">
        <f t="shared" si="163"/>
        <v>22</v>
      </c>
      <c r="O1165" s="3">
        <f t="shared" si="164"/>
        <v>1</v>
      </c>
    </row>
    <row r="1166" spans="1:15" x14ac:dyDescent="0.2">
      <c r="A1166" s="2">
        <v>45405</v>
      </c>
      <c r="B1166" s="3">
        <v>34299</v>
      </c>
      <c r="C1166" s="3">
        <v>33910</v>
      </c>
      <c r="D1166" s="3">
        <v>34260</v>
      </c>
      <c r="E1166" s="3">
        <v>33910</v>
      </c>
      <c r="F1166" s="3">
        <v>20</v>
      </c>
      <c r="G1166" s="7">
        <f t="shared" si="170"/>
        <v>1</v>
      </c>
      <c r="H1166" s="5">
        <f t="shared" si="165"/>
        <v>1.9135343931065221E-2</v>
      </c>
      <c r="I1166" s="4">
        <f t="shared" si="166"/>
        <v>1.1634844868735084E-2</v>
      </c>
      <c r="J1166" s="4">
        <f t="shared" si="167"/>
        <v>1.2411347517730497E-2</v>
      </c>
      <c r="K1166" s="4">
        <f t="shared" si="168"/>
        <v>1.4965579167913799E-2</v>
      </c>
      <c r="L1166" s="4">
        <f t="shared" si="169"/>
        <v>-0.33333333333333331</v>
      </c>
      <c r="M1166" s="3">
        <f t="shared" si="162"/>
        <v>4</v>
      </c>
      <c r="N1166" s="3">
        <f t="shared" si="163"/>
        <v>23</v>
      </c>
      <c r="O1166" s="3">
        <f t="shared" si="164"/>
        <v>2</v>
      </c>
    </row>
    <row r="1167" spans="1:15" x14ac:dyDescent="0.2">
      <c r="A1167" s="2">
        <v>45406</v>
      </c>
      <c r="B1167" s="3">
        <v>34202</v>
      </c>
      <c r="C1167" s="3">
        <v>34480</v>
      </c>
      <c r="D1167" s="3">
        <v>34480</v>
      </c>
      <c r="E1167" s="3">
        <v>34150</v>
      </c>
      <c r="F1167" s="3">
        <v>20</v>
      </c>
      <c r="G1167" s="7">
        <f t="shared" si="170"/>
        <v>0</v>
      </c>
      <c r="H1167" s="5">
        <f t="shared" si="165"/>
        <v>-2.8280707892358379E-3</v>
      </c>
      <c r="I1167" s="4">
        <f t="shared" si="166"/>
        <v>1.6809200825715128E-2</v>
      </c>
      <c r="J1167" s="4">
        <f t="shared" si="167"/>
        <v>6.4214827787507298E-3</v>
      </c>
      <c r="K1167" s="4">
        <f t="shared" si="168"/>
        <v>7.0775582424063696E-3</v>
      </c>
      <c r="L1167" s="4">
        <f t="shared" si="169"/>
        <v>0</v>
      </c>
      <c r="M1167" s="3">
        <f t="shared" si="162"/>
        <v>4</v>
      </c>
      <c r="N1167" s="3">
        <f t="shared" si="163"/>
        <v>24</v>
      </c>
      <c r="O1167" s="3">
        <f t="shared" si="164"/>
        <v>3</v>
      </c>
    </row>
    <row r="1168" spans="1:15" x14ac:dyDescent="0.2">
      <c r="A1168" s="2">
        <v>45407</v>
      </c>
      <c r="B1168" s="3">
        <v>33848</v>
      </c>
      <c r="C1168" s="3">
        <v>34100</v>
      </c>
      <c r="D1168" s="3">
        <v>34190</v>
      </c>
      <c r="E1168" s="3">
        <v>33750</v>
      </c>
      <c r="F1168" s="3">
        <v>20</v>
      </c>
      <c r="G1168" s="7">
        <f t="shared" si="170"/>
        <v>0</v>
      </c>
      <c r="H1168" s="5">
        <f t="shared" si="165"/>
        <v>-1.0350271913923162E-2</v>
      </c>
      <c r="I1168" s="4">
        <f t="shared" si="166"/>
        <v>-1.1020881670533642E-2</v>
      </c>
      <c r="J1168" s="4">
        <f t="shared" si="167"/>
        <v>-8.4106728538283059E-3</v>
      </c>
      <c r="K1168" s="4">
        <f t="shared" si="168"/>
        <v>-1.171303074670571E-2</v>
      </c>
      <c r="L1168" s="4">
        <f t="shared" si="169"/>
        <v>0</v>
      </c>
      <c r="M1168" s="3">
        <f t="shared" si="162"/>
        <v>4</v>
      </c>
      <c r="N1168" s="3">
        <f t="shared" si="163"/>
        <v>25</v>
      </c>
      <c r="O1168" s="3">
        <f t="shared" si="164"/>
        <v>4</v>
      </c>
    </row>
    <row r="1169" spans="1:15" x14ac:dyDescent="0.2">
      <c r="A1169" s="2">
        <v>45408</v>
      </c>
      <c r="B1169" s="3">
        <v>34167</v>
      </c>
      <c r="C1169" s="3">
        <v>34175</v>
      </c>
      <c r="D1169" s="3">
        <v>34250</v>
      </c>
      <c r="E1169" s="3">
        <v>34130</v>
      </c>
      <c r="F1169" s="3">
        <v>10</v>
      </c>
      <c r="G1169" s="7">
        <f t="shared" si="170"/>
        <v>1</v>
      </c>
      <c r="H1169" s="5">
        <f t="shared" si="165"/>
        <v>9.4244859371307027E-3</v>
      </c>
      <c r="I1169" s="4">
        <f t="shared" si="166"/>
        <v>2.1994134897360706E-3</v>
      </c>
      <c r="J1169" s="4">
        <f t="shared" si="167"/>
        <v>1.7548990933021352E-3</v>
      </c>
      <c r="K1169" s="4">
        <f t="shared" si="168"/>
        <v>1.1259259259259259E-2</v>
      </c>
      <c r="L1169" s="4">
        <f t="shared" si="169"/>
        <v>-0.5</v>
      </c>
      <c r="M1169" s="3">
        <f t="shared" si="162"/>
        <v>4</v>
      </c>
      <c r="N1169" s="3">
        <f t="shared" si="163"/>
        <v>26</v>
      </c>
      <c r="O1169" s="3">
        <f t="shared" si="164"/>
        <v>5</v>
      </c>
    </row>
    <row r="1170" spans="1:15" x14ac:dyDescent="0.2">
      <c r="A1170" s="2">
        <v>45411</v>
      </c>
      <c r="B1170" s="3">
        <v>34200</v>
      </c>
      <c r="C1170" s="3">
        <v>34195</v>
      </c>
      <c r="D1170" s="3">
        <v>34400</v>
      </c>
      <c r="E1170" s="3">
        <v>34165</v>
      </c>
      <c r="F1170" s="3">
        <v>10</v>
      </c>
      <c r="G1170" s="7">
        <f t="shared" si="170"/>
        <v>1</v>
      </c>
      <c r="H1170" s="5">
        <f t="shared" si="165"/>
        <v>9.6584423566599355E-4</v>
      </c>
      <c r="I1170" s="4">
        <f t="shared" si="166"/>
        <v>5.8522311631309441E-4</v>
      </c>
      <c r="J1170" s="4">
        <f t="shared" si="167"/>
        <v>4.3795620437956208E-3</v>
      </c>
      <c r="K1170" s="4">
        <f t="shared" si="168"/>
        <v>1.0254907705830648E-3</v>
      </c>
      <c r="L1170" s="4">
        <f t="shared" si="169"/>
        <v>0</v>
      </c>
      <c r="M1170" s="3">
        <f t="shared" si="162"/>
        <v>4</v>
      </c>
      <c r="N1170" s="3">
        <f t="shared" si="163"/>
        <v>29</v>
      </c>
      <c r="O1170" s="3">
        <f t="shared" si="164"/>
        <v>1</v>
      </c>
    </row>
    <row r="1171" spans="1:15" x14ac:dyDescent="0.2">
      <c r="A1171" s="2">
        <v>45412</v>
      </c>
      <c r="B1171" s="3">
        <v>33653</v>
      </c>
      <c r="C1171" s="3">
        <v>34205</v>
      </c>
      <c r="D1171" s="3">
        <v>34205</v>
      </c>
      <c r="E1171" s="3">
        <v>33505</v>
      </c>
      <c r="F1171" s="3">
        <v>10</v>
      </c>
      <c r="G1171" s="7">
        <f t="shared" si="170"/>
        <v>0</v>
      </c>
      <c r="H1171" s="5">
        <f t="shared" si="165"/>
        <v>-1.5994152046783627E-2</v>
      </c>
      <c r="I1171" s="4">
        <f t="shared" si="166"/>
        <v>2.9244041526538966E-4</v>
      </c>
      <c r="J1171" s="4">
        <f t="shared" si="167"/>
        <v>-5.6686046511627911E-3</v>
      </c>
      <c r="K1171" s="4">
        <f t="shared" si="168"/>
        <v>-1.9318015512951852E-2</v>
      </c>
      <c r="L1171" s="4">
        <f t="shared" si="169"/>
        <v>0</v>
      </c>
      <c r="M1171" s="3">
        <f t="shared" si="162"/>
        <v>4</v>
      </c>
      <c r="N1171" s="3">
        <f t="shared" si="163"/>
        <v>30</v>
      </c>
      <c r="O1171" s="3">
        <f t="shared" si="164"/>
        <v>2</v>
      </c>
    </row>
    <row r="1172" spans="1:15" x14ac:dyDescent="0.2">
      <c r="A1172" s="2">
        <v>45414</v>
      </c>
      <c r="B1172" s="3">
        <v>33624</v>
      </c>
      <c r="C1172" s="3">
        <v>33715</v>
      </c>
      <c r="D1172" s="3">
        <v>33730</v>
      </c>
      <c r="E1172" s="3">
        <v>33690</v>
      </c>
      <c r="F1172" s="3">
        <v>10</v>
      </c>
      <c r="G1172" s="7">
        <f t="shared" si="170"/>
        <v>0</v>
      </c>
      <c r="H1172" s="5">
        <f t="shared" si="165"/>
        <v>-8.617359522182272E-4</v>
      </c>
      <c r="I1172" s="4">
        <f t="shared" si="166"/>
        <v>-1.432539102470399E-2</v>
      </c>
      <c r="J1172" s="4">
        <f t="shared" si="167"/>
        <v>-1.3886858646396726E-2</v>
      </c>
      <c r="K1172" s="4">
        <f t="shared" si="168"/>
        <v>5.5215639456797491E-3</v>
      </c>
      <c r="L1172" s="4">
        <f t="shared" si="169"/>
        <v>0</v>
      </c>
      <c r="M1172" s="3">
        <f t="shared" si="162"/>
        <v>5</v>
      </c>
      <c r="N1172" s="3">
        <f t="shared" si="163"/>
        <v>2</v>
      </c>
      <c r="O1172" s="3">
        <f t="shared" si="164"/>
        <v>4</v>
      </c>
    </row>
    <row r="1173" spans="1:15" x14ac:dyDescent="0.2">
      <c r="A1173" s="2">
        <v>45415</v>
      </c>
      <c r="B1173" s="3">
        <v>33516</v>
      </c>
      <c r="C1173" s="3">
        <v>33750</v>
      </c>
      <c r="D1173" s="3">
        <v>33750</v>
      </c>
      <c r="E1173" s="3">
        <v>33420</v>
      </c>
      <c r="F1173" s="3">
        <v>10</v>
      </c>
      <c r="G1173" s="7">
        <f t="shared" si="170"/>
        <v>0</v>
      </c>
      <c r="H1173" s="5">
        <f t="shared" si="165"/>
        <v>-3.2119914346895075E-3</v>
      </c>
      <c r="I1173" s="4">
        <f t="shared" si="166"/>
        <v>1.0381135992881506E-3</v>
      </c>
      <c r="J1173" s="4">
        <f t="shared" si="167"/>
        <v>5.9294396679513783E-4</v>
      </c>
      <c r="K1173" s="4">
        <f t="shared" si="168"/>
        <v>-8.0142475512021364E-3</v>
      </c>
      <c r="L1173" s="4">
        <f t="shared" si="169"/>
        <v>0</v>
      </c>
      <c r="M1173" s="3">
        <f t="shared" si="162"/>
        <v>5</v>
      </c>
      <c r="N1173" s="3">
        <f t="shared" si="163"/>
        <v>3</v>
      </c>
      <c r="O1173" s="3">
        <f t="shared" si="164"/>
        <v>5</v>
      </c>
    </row>
    <row r="1174" spans="1:15" x14ac:dyDescent="0.2">
      <c r="A1174" s="2">
        <v>45418</v>
      </c>
      <c r="B1174" s="3">
        <v>33876</v>
      </c>
      <c r="C1174" s="3">
        <v>33865</v>
      </c>
      <c r="D1174" s="3">
        <v>33865</v>
      </c>
      <c r="E1174" s="3">
        <v>33865</v>
      </c>
      <c r="F1174" s="3">
        <v>10</v>
      </c>
      <c r="G1174" s="7">
        <f t="shared" si="170"/>
        <v>1</v>
      </c>
      <c r="H1174" s="5">
        <f t="shared" si="165"/>
        <v>1.0741138560687433E-2</v>
      </c>
      <c r="I1174" s="4">
        <f t="shared" si="166"/>
        <v>3.4074074074074076E-3</v>
      </c>
      <c r="J1174" s="4">
        <f t="shared" si="167"/>
        <v>3.4074074074074076E-3</v>
      </c>
      <c r="K1174" s="4">
        <f t="shared" si="168"/>
        <v>1.3315380011968881E-2</v>
      </c>
      <c r="L1174" s="4">
        <f t="shared" si="169"/>
        <v>0</v>
      </c>
      <c r="M1174" s="3">
        <f t="shared" si="162"/>
        <v>5</v>
      </c>
      <c r="N1174" s="3">
        <f t="shared" si="163"/>
        <v>6</v>
      </c>
      <c r="O1174" s="3">
        <f t="shared" si="164"/>
        <v>1</v>
      </c>
    </row>
    <row r="1175" spans="1:15" x14ac:dyDescent="0.2">
      <c r="A1175" s="2">
        <v>45419</v>
      </c>
      <c r="B1175" s="3">
        <v>34128</v>
      </c>
      <c r="C1175" s="3">
        <v>34080</v>
      </c>
      <c r="D1175" s="3">
        <v>34230</v>
      </c>
      <c r="E1175" s="3">
        <v>34080</v>
      </c>
      <c r="F1175" s="3">
        <v>10</v>
      </c>
      <c r="G1175" s="7">
        <f t="shared" si="170"/>
        <v>1</v>
      </c>
      <c r="H1175" s="5">
        <f t="shared" si="165"/>
        <v>7.4388947927736451E-3</v>
      </c>
      <c r="I1175" s="4">
        <f t="shared" si="166"/>
        <v>6.3487376347261181E-3</v>
      </c>
      <c r="J1175" s="4">
        <f t="shared" si="167"/>
        <v>1.0778089472907131E-2</v>
      </c>
      <c r="K1175" s="4">
        <f t="shared" si="168"/>
        <v>6.3487376347261181E-3</v>
      </c>
      <c r="L1175" s="4">
        <f t="shared" si="169"/>
        <v>0</v>
      </c>
      <c r="M1175" s="3">
        <f t="shared" si="162"/>
        <v>5</v>
      </c>
      <c r="N1175" s="3">
        <f t="shared" si="163"/>
        <v>7</v>
      </c>
      <c r="O1175" s="3">
        <f t="shared" si="164"/>
        <v>2</v>
      </c>
    </row>
    <row r="1176" spans="1:15" x14ac:dyDescent="0.2">
      <c r="A1176" s="2">
        <v>45420</v>
      </c>
      <c r="B1176" s="3">
        <v>34031</v>
      </c>
      <c r="C1176" s="3">
        <v>34000</v>
      </c>
      <c r="D1176" s="3">
        <v>34000</v>
      </c>
      <c r="E1176" s="3">
        <v>33880</v>
      </c>
      <c r="F1176" s="3">
        <v>10</v>
      </c>
      <c r="G1176" s="7">
        <f t="shared" si="170"/>
        <v>0</v>
      </c>
      <c r="H1176" s="5">
        <f t="shared" si="165"/>
        <v>-2.8422409751523675E-3</v>
      </c>
      <c r="I1176" s="4">
        <f t="shared" si="166"/>
        <v>-2.3474178403755869E-3</v>
      </c>
      <c r="J1176" s="4">
        <f t="shared" si="167"/>
        <v>-6.7192521180251237E-3</v>
      </c>
      <c r="K1176" s="4">
        <f t="shared" si="168"/>
        <v>-5.8685446009389668E-3</v>
      </c>
      <c r="L1176" s="4">
        <f t="shared" si="169"/>
        <v>0</v>
      </c>
      <c r="M1176" s="3">
        <f t="shared" si="162"/>
        <v>5</v>
      </c>
      <c r="N1176" s="3">
        <f t="shared" si="163"/>
        <v>8</v>
      </c>
      <c r="O1176" s="3">
        <f t="shared" si="164"/>
        <v>3</v>
      </c>
    </row>
    <row r="1177" spans="1:15" x14ac:dyDescent="0.2">
      <c r="A1177" s="2">
        <v>45421</v>
      </c>
      <c r="B1177" s="3">
        <v>34207</v>
      </c>
      <c r="C1177" s="3">
        <v>34130</v>
      </c>
      <c r="D1177" s="3">
        <v>34210</v>
      </c>
      <c r="E1177" s="3">
        <v>34130</v>
      </c>
      <c r="F1177" s="3">
        <v>10</v>
      </c>
      <c r="G1177" s="7">
        <f t="shared" si="170"/>
        <v>1</v>
      </c>
      <c r="H1177" s="5">
        <f t="shared" si="165"/>
        <v>5.1717551644089215E-3</v>
      </c>
      <c r="I1177" s="4">
        <f t="shared" si="166"/>
        <v>3.8235294117647061E-3</v>
      </c>
      <c r="J1177" s="4">
        <f t="shared" si="167"/>
        <v>6.1764705882352937E-3</v>
      </c>
      <c r="K1177" s="4">
        <f t="shared" si="168"/>
        <v>7.3789846517119248E-3</v>
      </c>
      <c r="L1177" s="4">
        <f t="shared" si="169"/>
        <v>0</v>
      </c>
      <c r="M1177" s="3">
        <f t="shared" si="162"/>
        <v>5</v>
      </c>
      <c r="N1177" s="3">
        <f t="shared" si="163"/>
        <v>9</v>
      </c>
      <c r="O1177" s="3">
        <f t="shared" si="164"/>
        <v>4</v>
      </c>
    </row>
    <row r="1178" spans="1:15" x14ac:dyDescent="0.2">
      <c r="A1178" s="2">
        <v>45422</v>
      </c>
      <c r="B1178" s="3">
        <v>34527</v>
      </c>
      <c r="C1178" s="3">
        <v>34450</v>
      </c>
      <c r="D1178" s="3">
        <v>34520</v>
      </c>
      <c r="E1178" s="3">
        <v>34450</v>
      </c>
      <c r="F1178" s="3">
        <v>10</v>
      </c>
      <c r="G1178" s="7">
        <f t="shared" si="170"/>
        <v>1</v>
      </c>
      <c r="H1178" s="5">
        <f t="shared" si="165"/>
        <v>9.3548104189201033E-3</v>
      </c>
      <c r="I1178" s="4">
        <f t="shared" si="166"/>
        <v>9.3759156167594494E-3</v>
      </c>
      <c r="J1178" s="4">
        <f t="shared" si="167"/>
        <v>9.0616778719672612E-3</v>
      </c>
      <c r="K1178" s="4">
        <f t="shared" si="168"/>
        <v>9.3759156167594494E-3</v>
      </c>
      <c r="L1178" s="4">
        <f t="shared" si="169"/>
        <v>0</v>
      </c>
      <c r="M1178" s="3">
        <f t="shared" si="162"/>
        <v>5</v>
      </c>
      <c r="N1178" s="3">
        <f t="shared" si="163"/>
        <v>10</v>
      </c>
      <c r="O1178" s="3">
        <f t="shared" si="164"/>
        <v>5</v>
      </c>
    </row>
    <row r="1179" spans="1:15" x14ac:dyDescent="0.2">
      <c r="A1179" s="2">
        <v>45425</v>
      </c>
      <c r="B1179" s="3">
        <v>34676</v>
      </c>
      <c r="C1179" s="3">
        <v>34565</v>
      </c>
      <c r="D1179" s="3">
        <v>34565</v>
      </c>
      <c r="E1179" s="3">
        <v>34565</v>
      </c>
      <c r="F1179" s="3">
        <v>10</v>
      </c>
      <c r="G1179" s="7">
        <f t="shared" si="170"/>
        <v>1</v>
      </c>
      <c r="H1179" s="5">
        <f t="shared" si="165"/>
        <v>4.3154632606366029E-3</v>
      </c>
      <c r="I1179" s="4">
        <f t="shared" si="166"/>
        <v>3.3381712626995644E-3</v>
      </c>
      <c r="J1179" s="4">
        <f t="shared" si="167"/>
        <v>1.3035921205098494E-3</v>
      </c>
      <c r="K1179" s="4">
        <f t="shared" si="168"/>
        <v>3.3381712626995644E-3</v>
      </c>
      <c r="L1179" s="4">
        <f t="shared" si="169"/>
        <v>0</v>
      </c>
      <c r="M1179" s="3">
        <f t="shared" si="162"/>
        <v>5</v>
      </c>
      <c r="N1179" s="3">
        <f t="shared" si="163"/>
        <v>13</v>
      </c>
      <c r="O1179" s="3">
        <f t="shared" si="164"/>
        <v>1</v>
      </c>
    </row>
    <row r="1180" spans="1:15" x14ac:dyDescent="0.2">
      <c r="A1180" s="2">
        <v>45426</v>
      </c>
      <c r="B1180" s="3">
        <v>35009</v>
      </c>
      <c r="C1180" s="3">
        <v>34750</v>
      </c>
      <c r="D1180" s="3">
        <v>35030</v>
      </c>
      <c r="E1180" s="3">
        <v>34745</v>
      </c>
      <c r="F1180" s="3">
        <v>10</v>
      </c>
      <c r="G1180" s="7">
        <f t="shared" si="170"/>
        <v>1</v>
      </c>
      <c r="H1180" s="5">
        <f t="shared" si="165"/>
        <v>9.6031837582189403E-3</v>
      </c>
      <c r="I1180" s="4">
        <f t="shared" si="166"/>
        <v>5.3522349197164766E-3</v>
      </c>
      <c r="J1180" s="4">
        <f t="shared" si="167"/>
        <v>1.3452914798206279E-2</v>
      </c>
      <c r="K1180" s="4">
        <f t="shared" si="168"/>
        <v>5.2075799218863012E-3</v>
      </c>
      <c r="L1180" s="4">
        <f t="shared" si="169"/>
        <v>0</v>
      </c>
      <c r="M1180" s="3">
        <f t="shared" si="162"/>
        <v>5</v>
      </c>
      <c r="N1180" s="3">
        <f t="shared" si="163"/>
        <v>14</v>
      </c>
      <c r="O1180" s="3">
        <f t="shared" si="164"/>
        <v>2</v>
      </c>
    </row>
    <row r="1181" spans="1:15" x14ac:dyDescent="0.2">
      <c r="A1181" s="2">
        <v>45427</v>
      </c>
      <c r="B1181" s="3">
        <v>35223</v>
      </c>
      <c r="C1181" s="3">
        <v>35100</v>
      </c>
      <c r="D1181" s="3">
        <v>35190</v>
      </c>
      <c r="E1181" s="3">
        <v>35080</v>
      </c>
      <c r="F1181" s="3">
        <v>20</v>
      </c>
      <c r="G1181" s="7">
        <f t="shared" si="170"/>
        <v>1</v>
      </c>
      <c r="H1181" s="5">
        <f t="shared" si="165"/>
        <v>6.1127138735753662E-3</v>
      </c>
      <c r="I1181" s="4">
        <f t="shared" si="166"/>
        <v>1.0071942446043165E-2</v>
      </c>
      <c r="J1181" s="4">
        <f t="shared" si="167"/>
        <v>4.5675135598058809E-3</v>
      </c>
      <c r="K1181" s="4">
        <f t="shared" si="168"/>
        <v>9.6416750611598798E-3</v>
      </c>
      <c r="L1181" s="4">
        <f t="shared" si="169"/>
        <v>1</v>
      </c>
      <c r="M1181" s="3">
        <f t="shared" si="162"/>
        <v>5</v>
      </c>
      <c r="N1181" s="3">
        <f t="shared" si="163"/>
        <v>15</v>
      </c>
      <c r="O1181" s="3">
        <f t="shared" si="164"/>
        <v>3</v>
      </c>
    </row>
    <row r="1182" spans="1:15" x14ac:dyDescent="0.2">
      <c r="A1182" s="2">
        <v>45428</v>
      </c>
      <c r="B1182" s="3">
        <v>35267</v>
      </c>
      <c r="C1182" s="3">
        <v>35259</v>
      </c>
      <c r="D1182" s="3">
        <v>35325</v>
      </c>
      <c r="E1182" s="3">
        <v>35215</v>
      </c>
      <c r="F1182" s="3">
        <v>40</v>
      </c>
      <c r="G1182" s="7">
        <f t="shared" si="170"/>
        <v>1</v>
      </c>
      <c r="H1182" s="5">
        <f t="shared" si="165"/>
        <v>1.2491837719671806E-3</v>
      </c>
      <c r="I1182" s="4">
        <f t="shared" si="166"/>
        <v>4.5299145299145301E-3</v>
      </c>
      <c r="J1182" s="4">
        <f t="shared" si="167"/>
        <v>3.8363171355498722E-3</v>
      </c>
      <c r="K1182" s="4">
        <f t="shared" si="168"/>
        <v>3.8483466362599773E-3</v>
      </c>
      <c r="L1182" s="4">
        <f t="shared" si="169"/>
        <v>1</v>
      </c>
      <c r="M1182" s="3">
        <f t="shared" si="162"/>
        <v>5</v>
      </c>
      <c r="N1182" s="3">
        <f t="shared" si="163"/>
        <v>16</v>
      </c>
      <c r="O1182" s="3">
        <f t="shared" si="164"/>
        <v>4</v>
      </c>
    </row>
    <row r="1183" spans="1:15" x14ac:dyDescent="0.2">
      <c r="A1183" s="2">
        <v>45429</v>
      </c>
      <c r="B1183" s="3">
        <v>35250</v>
      </c>
      <c r="C1183" s="3">
        <v>35230</v>
      </c>
      <c r="D1183" s="3">
        <v>35320</v>
      </c>
      <c r="E1183" s="3">
        <v>35205</v>
      </c>
      <c r="F1183" s="3">
        <v>10</v>
      </c>
      <c r="G1183" s="7">
        <f t="shared" si="170"/>
        <v>0</v>
      </c>
      <c r="H1183" s="5">
        <f t="shared" si="165"/>
        <v>-4.82037031786089E-4</v>
      </c>
      <c r="I1183" s="4">
        <f t="shared" si="166"/>
        <v>-8.2248503928075104E-4</v>
      </c>
      <c r="J1183" s="4">
        <f t="shared" si="167"/>
        <v>-1.4154281670205238E-4</v>
      </c>
      <c r="K1183" s="4">
        <f t="shared" si="168"/>
        <v>-2.839698991906858E-4</v>
      </c>
      <c r="L1183" s="4">
        <f t="shared" si="169"/>
        <v>-0.75</v>
      </c>
      <c r="M1183" s="3">
        <f t="shared" si="162"/>
        <v>5</v>
      </c>
      <c r="N1183" s="3">
        <f t="shared" si="163"/>
        <v>17</v>
      </c>
      <c r="O1183" s="3">
        <f t="shared" si="164"/>
        <v>5</v>
      </c>
    </row>
    <row r="1184" spans="1:15" x14ac:dyDescent="0.2">
      <c r="A1184" s="2">
        <v>45432</v>
      </c>
      <c r="B1184" s="3">
        <v>35126</v>
      </c>
      <c r="C1184" s="3">
        <v>35355</v>
      </c>
      <c r="D1184" s="3">
        <v>35355</v>
      </c>
      <c r="E1184" s="3">
        <v>35190</v>
      </c>
      <c r="F1184" s="3">
        <v>10</v>
      </c>
      <c r="G1184" s="7">
        <f t="shared" si="170"/>
        <v>0</v>
      </c>
      <c r="H1184" s="5">
        <f t="shared" si="165"/>
        <v>-3.5177304964539007E-3</v>
      </c>
      <c r="I1184" s="4">
        <f t="shared" si="166"/>
        <v>3.5481124042009652E-3</v>
      </c>
      <c r="J1184" s="4">
        <f t="shared" si="167"/>
        <v>9.9093997734994331E-4</v>
      </c>
      <c r="K1184" s="4">
        <f t="shared" si="168"/>
        <v>-4.2607584149978694E-4</v>
      </c>
      <c r="L1184" s="4">
        <f t="shared" si="169"/>
        <v>0</v>
      </c>
      <c r="M1184" s="3">
        <f t="shared" si="162"/>
        <v>5</v>
      </c>
      <c r="N1184" s="3">
        <f t="shared" si="163"/>
        <v>20</v>
      </c>
      <c r="O1184" s="3">
        <f t="shared" si="164"/>
        <v>1</v>
      </c>
    </row>
    <row r="1185" spans="1:15" x14ac:dyDescent="0.2">
      <c r="A1185" s="2">
        <v>45433</v>
      </c>
      <c r="B1185" s="3">
        <v>34896</v>
      </c>
      <c r="C1185" s="3">
        <v>34850</v>
      </c>
      <c r="D1185" s="3">
        <v>34850</v>
      </c>
      <c r="E1185" s="3">
        <v>34800</v>
      </c>
      <c r="F1185" s="3">
        <v>10</v>
      </c>
      <c r="G1185" s="7">
        <f t="shared" si="170"/>
        <v>0</v>
      </c>
      <c r="H1185" s="5">
        <f t="shared" si="165"/>
        <v>-6.5478562887889315E-3</v>
      </c>
      <c r="I1185" s="4">
        <f t="shared" si="166"/>
        <v>-1.4283693961250177E-2</v>
      </c>
      <c r="J1185" s="4">
        <f t="shared" si="167"/>
        <v>-1.4283693961250177E-2</v>
      </c>
      <c r="K1185" s="4">
        <f t="shared" si="168"/>
        <v>-1.1082693947144074E-2</v>
      </c>
      <c r="L1185" s="4">
        <f t="shared" si="169"/>
        <v>0</v>
      </c>
      <c r="M1185" s="3">
        <f t="shared" si="162"/>
        <v>5</v>
      </c>
      <c r="N1185" s="3">
        <f t="shared" si="163"/>
        <v>21</v>
      </c>
      <c r="O1185" s="3">
        <f t="shared" si="164"/>
        <v>2</v>
      </c>
    </row>
    <row r="1186" spans="1:15" x14ac:dyDescent="0.2">
      <c r="A1186" s="2">
        <v>45434</v>
      </c>
      <c r="B1186" s="3">
        <v>34750</v>
      </c>
      <c r="C1186" s="3">
        <v>34725</v>
      </c>
      <c r="D1186" s="3">
        <v>34755</v>
      </c>
      <c r="E1186" s="3">
        <v>34435</v>
      </c>
      <c r="F1186" s="3">
        <v>11610</v>
      </c>
      <c r="G1186" s="7">
        <f t="shared" si="170"/>
        <v>0</v>
      </c>
      <c r="H1186" s="5">
        <f t="shared" si="165"/>
        <v>-4.1838606143970655E-3</v>
      </c>
      <c r="I1186" s="4">
        <f t="shared" si="166"/>
        <v>-3.5868005738880918E-3</v>
      </c>
      <c r="J1186" s="4">
        <f t="shared" si="167"/>
        <v>-2.7259684361549499E-3</v>
      </c>
      <c r="K1186" s="4">
        <f t="shared" si="168"/>
        <v>-1.0488505747126438E-2</v>
      </c>
      <c r="L1186" s="4">
        <f t="shared" si="169"/>
        <v>1160</v>
      </c>
      <c r="M1186" s="3">
        <f t="shared" si="162"/>
        <v>5</v>
      </c>
      <c r="N1186" s="3">
        <f t="shared" si="163"/>
        <v>22</v>
      </c>
      <c r="O1186" s="3">
        <f t="shared" si="164"/>
        <v>3</v>
      </c>
    </row>
    <row r="1187" spans="1:15" x14ac:dyDescent="0.2">
      <c r="A1187" s="2">
        <v>45435</v>
      </c>
      <c r="B1187" s="3">
        <v>34748</v>
      </c>
      <c r="C1187" s="3">
        <v>34905</v>
      </c>
      <c r="D1187" s="3">
        <v>34905</v>
      </c>
      <c r="E1187" s="3">
        <v>34760</v>
      </c>
      <c r="F1187" s="3">
        <v>10</v>
      </c>
      <c r="G1187" s="7">
        <f t="shared" si="170"/>
        <v>0</v>
      </c>
      <c r="H1187" s="5">
        <f t="shared" si="165"/>
        <v>-5.7553956834532372E-5</v>
      </c>
      <c r="I1187" s="4">
        <f t="shared" si="166"/>
        <v>5.1835853131749461E-3</v>
      </c>
      <c r="J1187" s="4">
        <f t="shared" si="167"/>
        <v>4.3159257660768235E-3</v>
      </c>
      <c r="K1187" s="4">
        <f t="shared" si="168"/>
        <v>9.4380717293451426E-3</v>
      </c>
      <c r="L1187" s="4">
        <f t="shared" si="169"/>
        <v>-0.99913867355727826</v>
      </c>
      <c r="M1187" s="3">
        <f t="shared" si="162"/>
        <v>5</v>
      </c>
      <c r="N1187" s="3">
        <f t="shared" si="163"/>
        <v>23</v>
      </c>
      <c r="O1187" s="3">
        <f t="shared" si="164"/>
        <v>4</v>
      </c>
    </row>
    <row r="1188" spans="1:15" x14ac:dyDescent="0.2">
      <c r="A1188" s="2">
        <v>45436</v>
      </c>
      <c r="B1188" s="3">
        <v>34764</v>
      </c>
      <c r="C1188" s="3">
        <v>34410</v>
      </c>
      <c r="D1188" s="3">
        <v>34680</v>
      </c>
      <c r="E1188" s="3">
        <v>34410</v>
      </c>
      <c r="F1188" s="3">
        <v>10</v>
      </c>
      <c r="G1188" s="7">
        <f t="shared" si="170"/>
        <v>1</v>
      </c>
      <c r="H1188" s="5">
        <f t="shared" si="165"/>
        <v>4.6045815586508577E-4</v>
      </c>
      <c r="I1188" s="4">
        <f t="shared" si="166"/>
        <v>-1.4181349376880103E-2</v>
      </c>
      <c r="J1188" s="4">
        <f t="shared" si="167"/>
        <v>-6.4460678985818649E-3</v>
      </c>
      <c r="K1188" s="4">
        <f t="shared" si="168"/>
        <v>-1.0069044879171462E-2</v>
      </c>
      <c r="L1188" s="4">
        <f t="shared" si="169"/>
        <v>0</v>
      </c>
      <c r="M1188" s="3">
        <f t="shared" si="162"/>
        <v>5</v>
      </c>
      <c r="N1188" s="3">
        <f t="shared" si="163"/>
        <v>24</v>
      </c>
      <c r="O1188" s="3">
        <f t="shared" si="164"/>
        <v>5</v>
      </c>
    </row>
    <row r="1189" spans="1:15" x14ac:dyDescent="0.2">
      <c r="A1189" s="2">
        <v>45439</v>
      </c>
      <c r="B1189" s="3">
        <v>35032</v>
      </c>
      <c r="C1189" s="3">
        <v>34775</v>
      </c>
      <c r="D1189" s="3">
        <v>35066</v>
      </c>
      <c r="E1189" s="3">
        <v>34775</v>
      </c>
      <c r="F1189" s="3">
        <v>10</v>
      </c>
      <c r="G1189" s="7">
        <f t="shared" si="170"/>
        <v>1</v>
      </c>
      <c r="H1189" s="5">
        <f t="shared" si="165"/>
        <v>7.7091243815441265E-3</v>
      </c>
      <c r="I1189" s="4">
        <f t="shared" si="166"/>
        <v>1.060738157512351E-2</v>
      </c>
      <c r="J1189" s="4">
        <f t="shared" si="167"/>
        <v>1.1130334486735871E-2</v>
      </c>
      <c r="K1189" s="4">
        <f t="shared" si="168"/>
        <v>1.060738157512351E-2</v>
      </c>
      <c r="L1189" s="4">
        <f t="shared" si="169"/>
        <v>0</v>
      </c>
      <c r="M1189" s="3">
        <f t="shared" si="162"/>
        <v>5</v>
      </c>
      <c r="N1189" s="3">
        <f t="shared" si="163"/>
        <v>27</v>
      </c>
      <c r="O1189" s="3">
        <f t="shared" si="164"/>
        <v>1</v>
      </c>
    </row>
    <row r="1190" spans="1:15" x14ac:dyDescent="0.2">
      <c r="A1190" s="2">
        <v>45440</v>
      </c>
      <c r="B1190" s="3">
        <v>34923</v>
      </c>
      <c r="C1190" s="3">
        <v>34840</v>
      </c>
      <c r="D1190" s="3">
        <v>34915</v>
      </c>
      <c r="E1190" s="3">
        <v>34840</v>
      </c>
      <c r="F1190" s="3">
        <v>10</v>
      </c>
      <c r="G1190" s="7">
        <f t="shared" si="170"/>
        <v>0</v>
      </c>
      <c r="H1190" s="5">
        <f t="shared" si="165"/>
        <v>-3.1114409682575931E-3</v>
      </c>
      <c r="I1190" s="4">
        <f t="shared" si="166"/>
        <v>1.869158878504673E-3</v>
      </c>
      <c r="J1190" s="4">
        <f t="shared" si="167"/>
        <v>-4.3061655164546853E-3</v>
      </c>
      <c r="K1190" s="4">
        <f t="shared" si="168"/>
        <v>1.869158878504673E-3</v>
      </c>
      <c r="L1190" s="4">
        <f t="shared" si="169"/>
        <v>0</v>
      </c>
      <c r="M1190" s="3">
        <f t="shared" si="162"/>
        <v>5</v>
      </c>
      <c r="N1190" s="3">
        <f t="shared" si="163"/>
        <v>28</v>
      </c>
      <c r="O1190" s="3">
        <f t="shared" si="164"/>
        <v>2</v>
      </c>
    </row>
    <row r="1191" spans="1:15" x14ac:dyDescent="0.2">
      <c r="A1191" s="2">
        <v>45441</v>
      </c>
      <c r="B1191" s="3">
        <v>34421</v>
      </c>
      <c r="C1191" s="3">
        <v>34795</v>
      </c>
      <c r="D1191" s="3">
        <v>34815</v>
      </c>
      <c r="E1191" s="3">
        <v>34407</v>
      </c>
      <c r="F1191" s="3">
        <v>1210</v>
      </c>
      <c r="G1191" s="7">
        <f t="shared" si="170"/>
        <v>0</v>
      </c>
      <c r="H1191" s="5">
        <f t="shared" si="165"/>
        <v>-1.4374481001059473E-2</v>
      </c>
      <c r="I1191" s="4">
        <f t="shared" si="166"/>
        <v>-1.2916188289322618E-3</v>
      </c>
      <c r="J1191" s="4">
        <f t="shared" si="167"/>
        <v>-2.8640985249892598E-3</v>
      </c>
      <c r="K1191" s="4">
        <f t="shared" si="168"/>
        <v>-1.2428243398392652E-2</v>
      </c>
      <c r="L1191" s="4">
        <f t="shared" si="169"/>
        <v>120</v>
      </c>
      <c r="M1191" s="3">
        <f t="shared" si="162"/>
        <v>5</v>
      </c>
      <c r="N1191" s="3">
        <f t="shared" si="163"/>
        <v>29</v>
      </c>
      <c r="O1191" s="3">
        <f t="shared" si="164"/>
        <v>3</v>
      </c>
    </row>
    <row r="1192" spans="1:15" x14ac:dyDescent="0.2">
      <c r="A1192" s="2">
        <v>45442</v>
      </c>
      <c r="B1192" s="3">
        <v>34711</v>
      </c>
      <c r="C1192" s="3">
        <v>34120</v>
      </c>
      <c r="D1192" s="3">
        <v>34800</v>
      </c>
      <c r="E1192" s="3">
        <v>34120</v>
      </c>
      <c r="F1192" s="3">
        <v>10</v>
      </c>
      <c r="G1192" s="7">
        <f t="shared" si="170"/>
        <v>1</v>
      </c>
      <c r="H1192" s="5">
        <f t="shared" si="165"/>
        <v>8.4250893349989836E-3</v>
      </c>
      <c r="I1192" s="4">
        <f t="shared" si="166"/>
        <v>-1.939933898548642E-2</v>
      </c>
      <c r="J1192" s="4">
        <f t="shared" si="167"/>
        <v>-4.3084877208099956E-4</v>
      </c>
      <c r="K1192" s="4">
        <f t="shared" si="168"/>
        <v>-8.3413258929868929E-3</v>
      </c>
      <c r="L1192" s="4">
        <f t="shared" si="169"/>
        <v>-0.99173553719008267</v>
      </c>
      <c r="M1192" s="3">
        <f t="shared" si="162"/>
        <v>5</v>
      </c>
      <c r="N1192" s="3">
        <f t="shared" si="163"/>
        <v>30</v>
      </c>
      <c r="O1192" s="3">
        <f t="shared" si="164"/>
        <v>4</v>
      </c>
    </row>
    <row r="1193" spans="1:15" x14ac:dyDescent="0.2">
      <c r="A1193" s="2">
        <v>45443</v>
      </c>
      <c r="B1193" s="3">
        <v>34748</v>
      </c>
      <c r="C1193" s="3">
        <v>34745</v>
      </c>
      <c r="D1193" s="3">
        <v>34850</v>
      </c>
      <c r="E1193" s="3">
        <v>34700</v>
      </c>
      <c r="F1193" s="3">
        <v>20</v>
      </c>
      <c r="G1193" s="7">
        <f t="shared" si="170"/>
        <v>1</v>
      </c>
      <c r="H1193" s="5">
        <f t="shared" si="165"/>
        <v>1.0659445132666877E-3</v>
      </c>
      <c r="I1193" s="4">
        <f t="shared" si="166"/>
        <v>1.8317702227432592E-2</v>
      </c>
      <c r="J1193" s="4">
        <f t="shared" si="167"/>
        <v>1.4367816091954023E-3</v>
      </c>
      <c r="K1193" s="4">
        <f t="shared" si="168"/>
        <v>1.6998827667057445E-2</v>
      </c>
      <c r="L1193" s="4">
        <f t="shared" si="169"/>
        <v>1</v>
      </c>
      <c r="M1193" s="3">
        <f t="shared" si="162"/>
        <v>5</v>
      </c>
      <c r="N1193" s="3">
        <f t="shared" si="163"/>
        <v>31</v>
      </c>
      <c r="O1193" s="3">
        <f t="shared" si="164"/>
        <v>5</v>
      </c>
    </row>
    <row r="1194" spans="1:15" x14ac:dyDescent="0.2">
      <c r="A1194" s="2">
        <v>45446</v>
      </c>
      <c r="B1194" s="3">
        <v>34751</v>
      </c>
      <c r="C1194" s="3">
        <v>34870</v>
      </c>
      <c r="D1194" s="3">
        <v>34940</v>
      </c>
      <c r="E1194" s="3">
        <v>34610</v>
      </c>
      <c r="F1194" s="3">
        <v>14010</v>
      </c>
      <c r="G1194" s="7">
        <f t="shared" si="170"/>
        <v>1</v>
      </c>
      <c r="H1194" s="5">
        <f t="shared" si="165"/>
        <v>8.6335904224703582E-5</v>
      </c>
      <c r="I1194" s="4">
        <f t="shared" si="166"/>
        <v>3.5976399481939848E-3</v>
      </c>
      <c r="J1194" s="4">
        <f t="shared" si="167"/>
        <v>2.5824964131994262E-3</v>
      </c>
      <c r="K1194" s="4">
        <f t="shared" si="168"/>
        <v>-2.5936599423631124E-3</v>
      </c>
      <c r="L1194" s="4">
        <f t="shared" si="169"/>
        <v>699.5</v>
      </c>
      <c r="M1194" s="3">
        <f t="shared" si="162"/>
        <v>6</v>
      </c>
      <c r="N1194" s="3">
        <f t="shared" si="163"/>
        <v>3</v>
      </c>
      <c r="O1194" s="3">
        <f t="shared" si="164"/>
        <v>1</v>
      </c>
    </row>
    <row r="1195" spans="1:15" x14ac:dyDescent="0.2">
      <c r="A1195" s="2">
        <v>45447</v>
      </c>
      <c r="B1195" s="3">
        <v>34348</v>
      </c>
      <c r="C1195" s="3">
        <v>34730</v>
      </c>
      <c r="D1195" s="3">
        <v>34735</v>
      </c>
      <c r="E1195" s="3">
        <v>34230</v>
      </c>
      <c r="F1195" s="3">
        <v>16410</v>
      </c>
      <c r="G1195" s="7">
        <f t="shared" si="170"/>
        <v>0</v>
      </c>
      <c r="H1195" s="5">
        <f t="shared" si="165"/>
        <v>-1.159678858162355E-2</v>
      </c>
      <c r="I1195" s="4">
        <f t="shared" si="166"/>
        <v>-4.0149125322626903E-3</v>
      </c>
      <c r="J1195" s="4">
        <f t="shared" si="167"/>
        <v>-5.8672009158557527E-3</v>
      </c>
      <c r="K1195" s="4">
        <f t="shared" si="168"/>
        <v>-1.097948569777521E-2</v>
      </c>
      <c r="L1195" s="4">
        <f t="shared" si="169"/>
        <v>0.17130620985010706</v>
      </c>
      <c r="M1195" s="3">
        <f t="shared" si="162"/>
        <v>6</v>
      </c>
      <c r="N1195" s="3">
        <f t="shared" si="163"/>
        <v>4</v>
      </c>
      <c r="O1195" s="3">
        <f t="shared" si="164"/>
        <v>2</v>
      </c>
    </row>
    <row r="1196" spans="1:15" x14ac:dyDescent="0.2">
      <c r="A1196" s="2">
        <v>45448</v>
      </c>
      <c r="B1196" s="3">
        <v>34579</v>
      </c>
      <c r="C1196" s="3">
        <v>34525</v>
      </c>
      <c r="D1196" s="3">
        <v>34810</v>
      </c>
      <c r="E1196" s="3">
        <v>34460</v>
      </c>
      <c r="F1196" s="3">
        <v>13200</v>
      </c>
      <c r="G1196" s="7">
        <f t="shared" si="170"/>
        <v>1</v>
      </c>
      <c r="H1196" s="5">
        <f t="shared" si="165"/>
        <v>6.7252824036333992E-3</v>
      </c>
      <c r="I1196" s="4">
        <f t="shared" si="166"/>
        <v>-5.9026778001727617E-3</v>
      </c>
      <c r="J1196" s="4">
        <f t="shared" si="167"/>
        <v>2.1592054124082338E-3</v>
      </c>
      <c r="K1196" s="4">
        <f t="shared" si="168"/>
        <v>6.7192521180251237E-3</v>
      </c>
      <c r="L1196" s="4">
        <f t="shared" si="169"/>
        <v>-0.19561243144424131</v>
      </c>
      <c r="M1196" s="3">
        <f t="shared" si="162"/>
        <v>6</v>
      </c>
      <c r="N1196" s="3">
        <f t="shared" si="163"/>
        <v>5</v>
      </c>
      <c r="O1196" s="3">
        <f t="shared" si="164"/>
        <v>3</v>
      </c>
    </row>
    <row r="1197" spans="1:15" x14ac:dyDescent="0.2">
      <c r="A1197" s="2">
        <v>45449</v>
      </c>
      <c r="B1197" s="3">
        <v>34894</v>
      </c>
      <c r="C1197" s="3">
        <v>34695</v>
      </c>
      <c r="D1197" s="3">
        <v>34920</v>
      </c>
      <c r="E1197" s="3">
        <v>34560</v>
      </c>
      <c r="F1197" s="3">
        <v>12180</v>
      </c>
      <c r="G1197" s="7">
        <f t="shared" si="170"/>
        <v>1</v>
      </c>
      <c r="H1197" s="5">
        <f t="shared" si="165"/>
        <v>9.1095751756846647E-3</v>
      </c>
      <c r="I1197" s="4">
        <f t="shared" si="166"/>
        <v>4.9239681390296887E-3</v>
      </c>
      <c r="J1197" s="4">
        <f t="shared" si="167"/>
        <v>3.1600114909508762E-3</v>
      </c>
      <c r="K1197" s="4">
        <f t="shared" si="168"/>
        <v>2.901915264074289E-3</v>
      </c>
      <c r="L1197" s="4">
        <f t="shared" si="169"/>
        <v>-7.7272727272727271E-2</v>
      </c>
      <c r="M1197" s="3">
        <f t="shared" si="162"/>
        <v>6</v>
      </c>
      <c r="N1197" s="3">
        <f t="shared" si="163"/>
        <v>6</v>
      </c>
      <c r="O1197" s="3">
        <f t="shared" si="164"/>
        <v>4</v>
      </c>
    </row>
    <row r="1198" spans="1:15" x14ac:dyDescent="0.2">
      <c r="A1198" s="2">
        <v>45450</v>
      </c>
      <c r="B1198" s="3">
        <v>34716</v>
      </c>
      <c r="C1198" s="3">
        <v>34855</v>
      </c>
      <c r="D1198" s="3">
        <v>35030</v>
      </c>
      <c r="E1198" s="3">
        <v>34500</v>
      </c>
      <c r="F1198" s="3">
        <v>12480</v>
      </c>
      <c r="G1198" s="7">
        <f t="shared" si="170"/>
        <v>0</v>
      </c>
      <c r="H1198" s="5">
        <f t="shared" si="165"/>
        <v>-5.1011635238149824E-3</v>
      </c>
      <c r="I1198" s="4">
        <f t="shared" si="166"/>
        <v>4.6116155065571412E-3</v>
      </c>
      <c r="J1198" s="4">
        <f t="shared" si="167"/>
        <v>3.1500572737686141E-3</v>
      </c>
      <c r="K1198" s="4">
        <f t="shared" si="168"/>
        <v>-1.736111111111111E-3</v>
      </c>
      <c r="L1198" s="4">
        <f t="shared" si="169"/>
        <v>2.4630541871921183E-2</v>
      </c>
      <c r="M1198" s="3">
        <f t="shared" si="162"/>
        <v>6</v>
      </c>
      <c r="N1198" s="3">
        <f t="shared" si="163"/>
        <v>7</v>
      </c>
      <c r="O1198" s="3">
        <f t="shared" si="164"/>
        <v>5</v>
      </c>
    </row>
    <row r="1199" spans="1:15" x14ac:dyDescent="0.2">
      <c r="A1199" s="2">
        <v>45453</v>
      </c>
      <c r="B1199" s="3">
        <v>34584</v>
      </c>
      <c r="C1199" s="3">
        <v>34595</v>
      </c>
      <c r="D1199" s="3">
        <v>34655</v>
      </c>
      <c r="E1199" s="3">
        <v>34280</v>
      </c>
      <c r="F1199" s="3">
        <v>14750</v>
      </c>
      <c r="G1199" s="7">
        <f t="shared" si="170"/>
        <v>0</v>
      </c>
      <c r="H1199" s="5">
        <f t="shared" si="165"/>
        <v>-3.8022813688212928E-3</v>
      </c>
      <c r="I1199" s="4">
        <f t="shared" si="166"/>
        <v>-7.4594749677234255E-3</v>
      </c>
      <c r="J1199" s="4">
        <f t="shared" si="167"/>
        <v>-1.0705109905795034E-2</v>
      </c>
      <c r="K1199" s="4">
        <f t="shared" si="168"/>
        <v>-6.3768115942028983E-3</v>
      </c>
      <c r="L1199" s="4">
        <f t="shared" si="169"/>
        <v>0.18189102564102563</v>
      </c>
      <c r="M1199" s="3">
        <f t="shared" si="162"/>
        <v>6</v>
      </c>
      <c r="N1199" s="3">
        <f t="shared" si="163"/>
        <v>10</v>
      </c>
      <c r="O1199" s="3">
        <f t="shared" si="164"/>
        <v>1</v>
      </c>
    </row>
    <row r="1200" spans="1:15" x14ac:dyDescent="0.2">
      <c r="A1200" s="2">
        <v>45454</v>
      </c>
      <c r="B1200" s="3">
        <v>33916</v>
      </c>
      <c r="C1200" s="3">
        <v>34585</v>
      </c>
      <c r="D1200" s="3">
        <v>34685</v>
      </c>
      <c r="E1200" s="3">
        <v>33760</v>
      </c>
      <c r="F1200" s="3">
        <v>22350</v>
      </c>
      <c r="G1200" s="7">
        <f t="shared" si="170"/>
        <v>0</v>
      </c>
      <c r="H1200" s="5">
        <f t="shared" si="165"/>
        <v>-1.9315290307656718E-2</v>
      </c>
      <c r="I1200" s="4">
        <f t="shared" si="166"/>
        <v>-2.8905911258852437E-4</v>
      </c>
      <c r="J1200" s="4">
        <f t="shared" si="167"/>
        <v>8.6567594863656036E-4</v>
      </c>
      <c r="K1200" s="4">
        <f t="shared" si="168"/>
        <v>-1.5169194865810968E-2</v>
      </c>
      <c r="L1200" s="4">
        <f t="shared" si="169"/>
        <v>0.51525423728813557</v>
      </c>
      <c r="M1200" s="3">
        <f t="shared" si="162"/>
        <v>6</v>
      </c>
      <c r="N1200" s="3">
        <f t="shared" si="163"/>
        <v>11</v>
      </c>
      <c r="O1200" s="3">
        <f t="shared" si="164"/>
        <v>2</v>
      </c>
    </row>
    <row r="1201" spans="1:15" x14ac:dyDescent="0.2">
      <c r="A1201" s="2">
        <v>45455</v>
      </c>
      <c r="B1201" s="3">
        <v>34399</v>
      </c>
      <c r="C1201" s="3">
        <v>34020</v>
      </c>
      <c r="D1201" s="3">
        <v>34430</v>
      </c>
      <c r="E1201" s="3">
        <v>34015</v>
      </c>
      <c r="F1201" s="3">
        <v>16870</v>
      </c>
      <c r="G1201" s="7">
        <f t="shared" si="170"/>
        <v>1</v>
      </c>
      <c r="H1201" s="5">
        <f t="shared" si="165"/>
        <v>1.4241066163462672E-2</v>
      </c>
      <c r="I1201" s="4">
        <f t="shared" si="166"/>
        <v>-1.6336562093393091E-2</v>
      </c>
      <c r="J1201" s="4">
        <f t="shared" si="167"/>
        <v>-7.351881216664264E-3</v>
      </c>
      <c r="K1201" s="4">
        <f t="shared" si="168"/>
        <v>7.5533175355450236E-3</v>
      </c>
      <c r="L1201" s="4">
        <f t="shared" si="169"/>
        <v>-0.24519015659955257</v>
      </c>
      <c r="M1201" s="3">
        <f t="shared" si="162"/>
        <v>6</v>
      </c>
      <c r="N1201" s="3">
        <f t="shared" si="163"/>
        <v>12</v>
      </c>
      <c r="O1201" s="3">
        <f t="shared" si="164"/>
        <v>3</v>
      </c>
    </row>
    <row r="1202" spans="1:15" x14ac:dyDescent="0.2">
      <c r="A1202" s="2">
        <v>45456</v>
      </c>
      <c r="B1202" s="3">
        <v>33635</v>
      </c>
      <c r="C1202" s="3">
        <v>34340</v>
      </c>
      <c r="D1202" s="3">
        <v>34370</v>
      </c>
      <c r="E1202" s="3">
        <v>33580</v>
      </c>
      <c r="F1202" s="3">
        <v>19410</v>
      </c>
      <c r="G1202" s="7">
        <f t="shared" si="170"/>
        <v>0</v>
      </c>
      <c r="H1202" s="5">
        <f t="shared" si="165"/>
        <v>-2.2209947963603593E-2</v>
      </c>
      <c r="I1202" s="4">
        <f t="shared" si="166"/>
        <v>9.4062316284538507E-3</v>
      </c>
      <c r="J1202" s="4">
        <f t="shared" si="167"/>
        <v>-1.7426662794074934E-3</v>
      </c>
      <c r="K1202" s="4">
        <f t="shared" si="168"/>
        <v>-1.2788475672497428E-2</v>
      </c>
      <c r="L1202" s="4">
        <f t="shared" si="169"/>
        <v>0.15056312981624184</v>
      </c>
      <c r="M1202" s="3">
        <f t="shared" si="162"/>
        <v>6</v>
      </c>
      <c r="N1202" s="3">
        <f t="shared" si="163"/>
        <v>13</v>
      </c>
      <c r="O1202" s="3">
        <f t="shared" si="164"/>
        <v>4</v>
      </c>
    </row>
    <row r="1203" spans="1:15" x14ac:dyDescent="0.2">
      <c r="A1203" s="2">
        <v>45457</v>
      </c>
      <c r="B1203" s="3">
        <v>32686</v>
      </c>
      <c r="C1203" s="3">
        <v>33710</v>
      </c>
      <c r="D1203" s="3">
        <v>33750</v>
      </c>
      <c r="E1203" s="3">
        <v>32490</v>
      </c>
      <c r="F1203" s="3">
        <v>34730</v>
      </c>
      <c r="G1203" s="7">
        <f t="shared" si="170"/>
        <v>0</v>
      </c>
      <c r="H1203" s="5">
        <f t="shared" si="165"/>
        <v>-2.8214657350973688E-2</v>
      </c>
      <c r="I1203" s="4">
        <f t="shared" si="166"/>
        <v>-1.8345952242283053E-2</v>
      </c>
      <c r="J1203" s="4">
        <f t="shared" si="167"/>
        <v>-1.8038987489089321E-2</v>
      </c>
      <c r="K1203" s="4">
        <f t="shared" si="168"/>
        <v>-3.2459797498511016E-2</v>
      </c>
      <c r="L1203" s="4">
        <f t="shared" si="169"/>
        <v>0.78928387429160229</v>
      </c>
      <c r="M1203" s="3">
        <f t="shared" si="162"/>
        <v>6</v>
      </c>
      <c r="N1203" s="3">
        <f t="shared" si="163"/>
        <v>14</v>
      </c>
      <c r="O1203" s="3">
        <f t="shared" si="164"/>
        <v>5</v>
      </c>
    </row>
    <row r="1204" spans="1:15" x14ac:dyDescent="0.2">
      <c r="A1204" s="2">
        <v>45460</v>
      </c>
      <c r="B1204" s="3">
        <v>32923</v>
      </c>
      <c r="C1204" s="3">
        <v>32840</v>
      </c>
      <c r="D1204" s="3">
        <v>33130</v>
      </c>
      <c r="E1204" s="3">
        <v>32595</v>
      </c>
      <c r="F1204" s="3">
        <v>50450</v>
      </c>
      <c r="G1204" s="7">
        <f t="shared" si="170"/>
        <v>1</v>
      </c>
      <c r="H1204" s="5">
        <f t="shared" si="165"/>
        <v>7.2508107446613229E-3</v>
      </c>
      <c r="I1204" s="4">
        <f t="shared" si="166"/>
        <v>-2.5808365470186889E-2</v>
      </c>
      <c r="J1204" s="4">
        <f t="shared" si="167"/>
        <v>-1.837037037037037E-2</v>
      </c>
      <c r="K1204" s="4">
        <f t="shared" si="168"/>
        <v>3.2317636195752539E-3</v>
      </c>
      <c r="L1204" s="4">
        <f t="shared" si="169"/>
        <v>0.45263460984739418</v>
      </c>
      <c r="M1204" s="3">
        <f t="shared" si="162"/>
        <v>6</v>
      </c>
      <c r="N1204" s="3">
        <f t="shared" si="163"/>
        <v>17</v>
      </c>
      <c r="O1204" s="3">
        <f t="shared" si="164"/>
        <v>1</v>
      </c>
    </row>
    <row r="1205" spans="1:15" x14ac:dyDescent="0.2">
      <c r="A1205" s="2">
        <v>45461</v>
      </c>
      <c r="B1205" s="3">
        <v>33326</v>
      </c>
      <c r="C1205" s="3">
        <v>33080</v>
      </c>
      <c r="D1205" s="3">
        <v>33415</v>
      </c>
      <c r="E1205" s="3">
        <v>33080</v>
      </c>
      <c r="F1205" s="3">
        <v>44370</v>
      </c>
      <c r="G1205" s="7">
        <f t="shared" si="170"/>
        <v>1</v>
      </c>
      <c r="H1205" s="5">
        <f t="shared" si="165"/>
        <v>1.2240682805333657E-2</v>
      </c>
      <c r="I1205" s="4">
        <f t="shared" si="166"/>
        <v>7.3081607795371494E-3</v>
      </c>
      <c r="J1205" s="4">
        <f t="shared" si="167"/>
        <v>8.602475098098401E-3</v>
      </c>
      <c r="K1205" s="4">
        <f t="shared" si="168"/>
        <v>1.4879582758091732E-2</v>
      </c>
      <c r="L1205" s="4">
        <f t="shared" si="169"/>
        <v>-0.12051536174430129</v>
      </c>
      <c r="M1205" s="3">
        <f t="shared" si="162"/>
        <v>6</v>
      </c>
      <c r="N1205" s="3">
        <f t="shared" si="163"/>
        <v>18</v>
      </c>
      <c r="O1205" s="3">
        <f t="shared" si="164"/>
        <v>2</v>
      </c>
    </row>
    <row r="1206" spans="1:15" x14ac:dyDescent="0.2">
      <c r="A1206" s="2">
        <v>45462</v>
      </c>
      <c r="B1206" s="3">
        <v>33228</v>
      </c>
      <c r="C1206" s="3">
        <v>33370</v>
      </c>
      <c r="D1206" s="3">
        <v>33515</v>
      </c>
      <c r="E1206" s="3">
        <v>33175</v>
      </c>
      <c r="F1206" s="3">
        <v>37520</v>
      </c>
      <c r="G1206" s="7">
        <f t="shared" si="170"/>
        <v>0</v>
      </c>
      <c r="H1206" s="5">
        <f t="shared" si="165"/>
        <v>-2.940646942327312E-3</v>
      </c>
      <c r="I1206" s="4">
        <f t="shared" si="166"/>
        <v>8.7666263603385728E-3</v>
      </c>
      <c r="J1206" s="4">
        <f t="shared" si="167"/>
        <v>2.9926679634894511E-3</v>
      </c>
      <c r="K1206" s="4">
        <f t="shared" si="168"/>
        <v>2.8718258766626359E-3</v>
      </c>
      <c r="L1206" s="4">
        <f t="shared" si="169"/>
        <v>-0.15438359251746675</v>
      </c>
      <c r="M1206" s="3">
        <f t="shared" si="162"/>
        <v>6</v>
      </c>
      <c r="N1206" s="3">
        <f t="shared" si="163"/>
        <v>19</v>
      </c>
      <c r="O1206" s="3">
        <f t="shared" si="164"/>
        <v>3</v>
      </c>
    </row>
    <row r="1207" spans="1:15" x14ac:dyDescent="0.2">
      <c r="A1207" s="2">
        <v>45463</v>
      </c>
      <c r="B1207" s="3">
        <v>33681</v>
      </c>
      <c r="C1207" s="3">
        <v>33305</v>
      </c>
      <c r="D1207" s="3">
        <v>33745</v>
      </c>
      <c r="E1207" s="3">
        <v>33214</v>
      </c>
      <c r="F1207" s="3">
        <v>23550</v>
      </c>
      <c r="G1207" s="7">
        <f t="shared" si="170"/>
        <v>1</v>
      </c>
      <c r="H1207" s="5">
        <f t="shared" si="165"/>
        <v>1.3633080534488985E-2</v>
      </c>
      <c r="I1207" s="4">
        <f t="shared" si="166"/>
        <v>-1.947857356907402E-3</v>
      </c>
      <c r="J1207" s="4">
        <f t="shared" si="167"/>
        <v>6.8625988363419368E-3</v>
      </c>
      <c r="K1207" s="4">
        <f t="shared" si="168"/>
        <v>1.175584024114544E-3</v>
      </c>
      <c r="L1207" s="4">
        <f t="shared" si="169"/>
        <v>-0.37233475479744138</v>
      </c>
      <c r="M1207" s="3">
        <f t="shared" si="162"/>
        <v>6</v>
      </c>
      <c r="N1207" s="3">
        <f t="shared" si="163"/>
        <v>20</v>
      </c>
      <c r="O1207" s="3">
        <f t="shared" si="164"/>
        <v>4</v>
      </c>
    </row>
    <row r="1208" spans="1:15" x14ac:dyDescent="0.2">
      <c r="A1208" s="2">
        <v>45464</v>
      </c>
      <c r="B1208" s="3">
        <v>33422</v>
      </c>
      <c r="C1208" s="3">
        <v>33710</v>
      </c>
      <c r="D1208" s="3">
        <v>33740</v>
      </c>
      <c r="E1208" s="3">
        <v>33335</v>
      </c>
      <c r="F1208" s="3">
        <v>60</v>
      </c>
      <c r="G1208" s="7">
        <f t="shared" si="170"/>
        <v>0</v>
      </c>
      <c r="H1208" s="5">
        <f t="shared" si="165"/>
        <v>-7.6897954336272679E-3</v>
      </c>
      <c r="I1208" s="4">
        <f t="shared" si="166"/>
        <v>1.2160336285842966E-2</v>
      </c>
      <c r="J1208" s="4">
        <f t="shared" si="167"/>
        <v>-1.481700992739665E-4</v>
      </c>
      <c r="K1208" s="4">
        <f t="shared" si="168"/>
        <v>3.6430420906846512E-3</v>
      </c>
      <c r="L1208" s="4">
        <f t="shared" si="169"/>
        <v>-0.99745222929936306</v>
      </c>
      <c r="M1208" s="3">
        <f t="shared" si="162"/>
        <v>6</v>
      </c>
      <c r="N1208" s="3">
        <f t="shared" si="163"/>
        <v>21</v>
      </c>
      <c r="O1208" s="3">
        <f t="shared" si="164"/>
        <v>5</v>
      </c>
    </row>
    <row r="1209" spans="1:15" x14ac:dyDescent="0.2">
      <c r="A1209" s="2">
        <v>45467</v>
      </c>
      <c r="B1209" s="3">
        <v>34076</v>
      </c>
      <c r="C1209" s="3">
        <v>33580</v>
      </c>
      <c r="D1209" s="3">
        <v>34110</v>
      </c>
      <c r="E1209" s="3">
        <v>33575</v>
      </c>
      <c r="F1209" s="3">
        <v>15250</v>
      </c>
      <c r="G1209" s="7">
        <f t="shared" si="170"/>
        <v>1</v>
      </c>
      <c r="H1209" s="5">
        <f t="shared" si="165"/>
        <v>1.9567949254981749E-2</v>
      </c>
      <c r="I1209" s="4">
        <f t="shared" si="166"/>
        <v>-3.8564224265796501E-3</v>
      </c>
      <c r="J1209" s="4">
        <f t="shared" si="167"/>
        <v>1.0966212211025488E-2</v>
      </c>
      <c r="K1209" s="4">
        <f t="shared" si="168"/>
        <v>7.1996400179990998E-3</v>
      </c>
      <c r="L1209" s="4">
        <f t="shared" si="169"/>
        <v>253.16666666666666</v>
      </c>
      <c r="M1209" s="3">
        <f t="shared" si="162"/>
        <v>6</v>
      </c>
      <c r="N1209" s="3">
        <f t="shared" si="163"/>
        <v>24</v>
      </c>
      <c r="O1209" s="3">
        <f t="shared" si="164"/>
        <v>1</v>
      </c>
    </row>
    <row r="1210" spans="1:15" x14ac:dyDescent="0.2">
      <c r="A1210" s="2">
        <v>45468</v>
      </c>
      <c r="B1210" s="3">
        <v>33948</v>
      </c>
      <c r="C1210" s="3">
        <v>34030</v>
      </c>
      <c r="D1210" s="3">
        <v>34100</v>
      </c>
      <c r="E1210" s="3">
        <v>33865</v>
      </c>
      <c r="F1210" s="3">
        <v>11400</v>
      </c>
      <c r="G1210" s="7">
        <f t="shared" si="170"/>
        <v>0</v>
      </c>
      <c r="H1210" s="5">
        <f t="shared" si="165"/>
        <v>-3.7563094259889657E-3</v>
      </c>
      <c r="I1210" s="4">
        <f t="shared" si="166"/>
        <v>1.3400833829660513E-2</v>
      </c>
      <c r="J1210" s="4">
        <f t="shared" si="167"/>
        <v>-2.931691586045148E-4</v>
      </c>
      <c r="K1210" s="4">
        <f t="shared" si="168"/>
        <v>8.6373790022338057E-3</v>
      </c>
      <c r="L1210" s="4">
        <f t="shared" si="169"/>
        <v>-0.25245901639344265</v>
      </c>
      <c r="M1210" s="3">
        <f t="shared" si="162"/>
        <v>6</v>
      </c>
      <c r="N1210" s="3">
        <f t="shared" si="163"/>
        <v>25</v>
      </c>
      <c r="O1210" s="3">
        <f t="shared" si="164"/>
        <v>2</v>
      </c>
    </row>
    <row r="1211" spans="1:15" x14ac:dyDescent="0.2">
      <c r="A1211" s="2">
        <v>45469</v>
      </c>
      <c r="B1211" s="3">
        <v>33773</v>
      </c>
      <c r="C1211" s="3">
        <v>34045</v>
      </c>
      <c r="D1211" s="3">
        <v>34100</v>
      </c>
      <c r="E1211" s="3">
        <v>33600</v>
      </c>
      <c r="F1211" s="3">
        <v>12530</v>
      </c>
      <c r="G1211" s="7">
        <f t="shared" si="170"/>
        <v>0</v>
      </c>
      <c r="H1211" s="5">
        <f t="shared" si="165"/>
        <v>-5.1549428537763639E-3</v>
      </c>
      <c r="I1211" s="4">
        <f t="shared" si="166"/>
        <v>4.4078754040552452E-4</v>
      </c>
      <c r="J1211" s="4">
        <f t="shared" si="167"/>
        <v>0</v>
      </c>
      <c r="K1211" s="4">
        <f t="shared" si="168"/>
        <v>-7.8251882474531225E-3</v>
      </c>
      <c r="L1211" s="4">
        <f t="shared" si="169"/>
        <v>9.9122807017543862E-2</v>
      </c>
      <c r="M1211" s="3">
        <f t="shared" si="162"/>
        <v>6</v>
      </c>
      <c r="N1211" s="3">
        <f t="shared" si="163"/>
        <v>26</v>
      </c>
      <c r="O1211" s="3">
        <f t="shared" si="164"/>
        <v>3</v>
      </c>
    </row>
    <row r="1212" spans="1:15" x14ac:dyDescent="0.2">
      <c r="A1212" s="2">
        <v>45470</v>
      </c>
      <c r="B1212" s="3">
        <v>33406</v>
      </c>
      <c r="C1212" s="3">
        <v>33765</v>
      </c>
      <c r="D1212" s="3">
        <v>33875</v>
      </c>
      <c r="E1212" s="3">
        <v>33380</v>
      </c>
      <c r="F1212" s="3">
        <v>11280</v>
      </c>
      <c r="G1212" s="7">
        <f t="shared" si="170"/>
        <v>0</v>
      </c>
      <c r="H1212" s="5">
        <f t="shared" si="165"/>
        <v>-1.0866668640630088E-2</v>
      </c>
      <c r="I1212" s="4">
        <f t="shared" si="166"/>
        <v>-8.2244088706124249E-3</v>
      </c>
      <c r="J1212" s="4">
        <f t="shared" si="167"/>
        <v>-6.5982404692082114E-3</v>
      </c>
      <c r="K1212" s="4">
        <f t="shared" si="168"/>
        <v>-6.5476190476190478E-3</v>
      </c>
      <c r="L1212" s="4">
        <f t="shared" si="169"/>
        <v>-9.9760574620909814E-2</v>
      </c>
      <c r="M1212" s="3">
        <f t="shared" si="162"/>
        <v>6</v>
      </c>
      <c r="N1212" s="3">
        <f t="shared" si="163"/>
        <v>27</v>
      </c>
      <c r="O1212" s="3">
        <f t="shared" si="164"/>
        <v>4</v>
      </c>
    </row>
    <row r="1213" spans="1:15" x14ac:dyDescent="0.2">
      <c r="A1213" s="2">
        <v>45471</v>
      </c>
      <c r="B1213" s="3">
        <v>33366</v>
      </c>
      <c r="C1213" s="3">
        <v>33475</v>
      </c>
      <c r="D1213" s="3">
        <v>33590</v>
      </c>
      <c r="E1213" s="3">
        <v>33240</v>
      </c>
      <c r="F1213" s="3">
        <v>12750</v>
      </c>
      <c r="G1213" s="7">
        <f t="shared" si="170"/>
        <v>0</v>
      </c>
      <c r="H1213" s="5">
        <f t="shared" si="165"/>
        <v>-1.1973896904747649E-3</v>
      </c>
      <c r="I1213" s="4">
        <f t="shared" si="166"/>
        <v>-8.5887753590996596E-3</v>
      </c>
      <c r="J1213" s="4">
        <f t="shared" si="167"/>
        <v>-8.4132841328413283E-3</v>
      </c>
      <c r="K1213" s="4">
        <f t="shared" si="168"/>
        <v>-4.1941282204913119E-3</v>
      </c>
      <c r="L1213" s="4">
        <f t="shared" si="169"/>
        <v>0.13031914893617022</v>
      </c>
      <c r="M1213" s="3">
        <f t="shared" si="162"/>
        <v>6</v>
      </c>
      <c r="N1213" s="3">
        <f t="shared" si="163"/>
        <v>28</v>
      </c>
      <c r="O1213" s="3">
        <f t="shared" si="164"/>
        <v>5</v>
      </c>
    </row>
    <row r="1214" spans="1:15" x14ac:dyDescent="0.2">
      <c r="A1214" s="2">
        <v>45474</v>
      </c>
      <c r="B1214" s="3">
        <v>33927</v>
      </c>
      <c r="C1214" s="3">
        <v>33760</v>
      </c>
      <c r="D1214" s="3">
        <v>34050</v>
      </c>
      <c r="E1214" s="3">
        <v>33730</v>
      </c>
      <c r="F1214" s="3">
        <v>16390</v>
      </c>
      <c r="G1214" s="7">
        <f t="shared" si="170"/>
        <v>1</v>
      </c>
      <c r="H1214" s="5">
        <f t="shared" si="165"/>
        <v>1.6813522747707248E-2</v>
      </c>
      <c r="I1214" s="4">
        <f t="shared" si="166"/>
        <v>8.5138162808065729E-3</v>
      </c>
      <c r="J1214" s="4">
        <f t="shared" si="167"/>
        <v>1.3694551949985114E-2</v>
      </c>
      <c r="K1214" s="4">
        <f t="shared" si="168"/>
        <v>1.4741275571600482E-2</v>
      </c>
      <c r="L1214" s="4">
        <f t="shared" si="169"/>
        <v>0.28549019607843135</v>
      </c>
      <c r="M1214" s="3">
        <f t="shared" si="162"/>
        <v>7</v>
      </c>
      <c r="N1214" s="3">
        <f t="shared" si="163"/>
        <v>1</v>
      </c>
      <c r="O1214" s="3">
        <f t="shared" si="164"/>
        <v>1</v>
      </c>
    </row>
    <row r="1215" spans="1:15" x14ac:dyDescent="0.2">
      <c r="A1215" s="2">
        <v>45475</v>
      </c>
      <c r="B1215" s="3">
        <v>33679</v>
      </c>
      <c r="C1215" s="3">
        <v>33950</v>
      </c>
      <c r="D1215" s="3">
        <v>33950</v>
      </c>
      <c r="E1215" s="3">
        <v>33460</v>
      </c>
      <c r="F1215" s="3">
        <v>16490</v>
      </c>
      <c r="G1215" s="7">
        <f t="shared" si="170"/>
        <v>0</v>
      </c>
      <c r="H1215" s="5">
        <f t="shared" si="165"/>
        <v>-7.3098122439355087E-3</v>
      </c>
      <c r="I1215" s="4">
        <f t="shared" si="166"/>
        <v>5.6279620853080569E-3</v>
      </c>
      <c r="J1215" s="4">
        <f t="shared" si="167"/>
        <v>-2.936857562408223E-3</v>
      </c>
      <c r="K1215" s="4">
        <f t="shared" si="168"/>
        <v>-8.0047435517343613E-3</v>
      </c>
      <c r="L1215" s="4">
        <f t="shared" si="169"/>
        <v>6.1012812690665044E-3</v>
      </c>
      <c r="M1215" s="3">
        <f t="shared" si="162"/>
        <v>7</v>
      </c>
      <c r="N1215" s="3">
        <f t="shared" si="163"/>
        <v>2</v>
      </c>
      <c r="O1215" s="3">
        <f t="shared" si="164"/>
        <v>2</v>
      </c>
    </row>
    <row r="1216" spans="1:15" x14ac:dyDescent="0.2">
      <c r="A1216" s="2">
        <v>45476</v>
      </c>
      <c r="B1216" s="3">
        <v>34048</v>
      </c>
      <c r="C1216" s="3">
        <v>33875</v>
      </c>
      <c r="D1216" s="3">
        <v>34170</v>
      </c>
      <c r="E1216" s="3">
        <v>33810</v>
      </c>
      <c r="F1216" s="3">
        <v>13040</v>
      </c>
      <c r="G1216" s="7">
        <f t="shared" si="170"/>
        <v>1</v>
      </c>
      <c r="H1216" s="5">
        <f t="shared" si="165"/>
        <v>1.0956382315389411E-2</v>
      </c>
      <c r="I1216" s="4">
        <f t="shared" si="166"/>
        <v>-2.2091310751104565E-3</v>
      </c>
      <c r="J1216" s="4">
        <f t="shared" si="167"/>
        <v>6.4801178203240063E-3</v>
      </c>
      <c r="K1216" s="4">
        <f t="shared" si="168"/>
        <v>1.0460251046025104E-2</v>
      </c>
      <c r="L1216" s="4">
        <f t="shared" si="169"/>
        <v>-0.20921770770163736</v>
      </c>
      <c r="M1216" s="3">
        <f t="shared" si="162"/>
        <v>7</v>
      </c>
      <c r="N1216" s="3">
        <f t="shared" si="163"/>
        <v>3</v>
      </c>
      <c r="O1216" s="3">
        <f t="shared" si="164"/>
        <v>3</v>
      </c>
    </row>
    <row r="1217" spans="1:15" x14ac:dyDescent="0.2">
      <c r="A1217" s="2">
        <v>45477</v>
      </c>
      <c r="B1217" s="3">
        <v>34295</v>
      </c>
      <c r="C1217" s="3">
        <v>34125</v>
      </c>
      <c r="D1217" s="3">
        <v>34370</v>
      </c>
      <c r="E1217" s="3">
        <v>34095</v>
      </c>
      <c r="F1217" s="3">
        <v>7090</v>
      </c>
      <c r="G1217" s="7">
        <f t="shared" si="170"/>
        <v>1</v>
      </c>
      <c r="H1217" s="5">
        <f t="shared" si="165"/>
        <v>7.254464285714286E-3</v>
      </c>
      <c r="I1217" s="4">
        <f t="shared" si="166"/>
        <v>7.3800738007380072E-3</v>
      </c>
      <c r="J1217" s="4">
        <f t="shared" si="167"/>
        <v>5.8530875036581793E-3</v>
      </c>
      <c r="K1217" s="4">
        <f t="shared" si="168"/>
        <v>8.4294587400177458E-3</v>
      </c>
      <c r="L1217" s="4">
        <f t="shared" si="169"/>
        <v>-0.45628834355828218</v>
      </c>
      <c r="M1217" s="3">
        <f t="shared" si="162"/>
        <v>7</v>
      </c>
      <c r="N1217" s="3">
        <f t="shared" si="163"/>
        <v>4</v>
      </c>
      <c r="O1217" s="3">
        <f t="shared" si="164"/>
        <v>4</v>
      </c>
    </row>
    <row r="1218" spans="1:15" x14ac:dyDescent="0.2">
      <c r="A1218" s="2">
        <v>45478</v>
      </c>
      <c r="B1218" s="3">
        <v>34172</v>
      </c>
      <c r="C1218" s="3">
        <v>34360</v>
      </c>
      <c r="D1218" s="3">
        <v>34535</v>
      </c>
      <c r="E1218" s="3">
        <v>33990</v>
      </c>
      <c r="F1218" s="3">
        <v>11350</v>
      </c>
      <c r="G1218" s="7">
        <f t="shared" si="170"/>
        <v>0</v>
      </c>
      <c r="H1218" s="5">
        <f t="shared" si="165"/>
        <v>-3.5865286484910337E-3</v>
      </c>
      <c r="I1218" s="4">
        <f t="shared" si="166"/>
        <v>6.8864468864468864E-3</v>
      </c>
      <c r="J1218" s="4">
        <f t="shared" si="167"/>
        <v>4.8006982833866743E-3</v>
      </c>
      <c r="K1218" s="4">
        <f t="shared" si="168"/>
        <v>-3.0796304443466782E-3</v>
      </c>
      <c r="L1218" s="4">
        <f t="shared" si="169"/>
        <v>0.60084626234132577</v>
      </c>
      <c r="M1218" s="3">
        <f t="shared" ref="M1218:M1277" si="171">MONTH(A1218)</f>
        <v>7</v>
      </c>
      <c r="N1218" s="3">
        <f t="shared" ref="N1218:N1277" si="172">DAY(A1218)</f>
        <v>5</v>
      </c>
      <c r="O1218" s="3">
        <f t="shared" ref="O1218:O1277" si="173">WEEKDAY(A1218,2)</f>
        <v>5</v>
      </c>
    </row>
    <row r="1219" spans="1:15" x14ac:dyDescent="0.2">
      <c r="A1219" s="2">
        <v>45481</v>
      </c>
      <c r="B1219" s="3">
        <v>34229</v>
      </c>
      <c r="C1219" s="3">
        <v>34125</v>
      </c>
      <c r="D1219" s="3">
        <v>34630</v>
      </c>
      <c r="E1219" s="3">
        <v>34015</v>
      </c>
      <c r="F1219" s="3">
        <v>13110</v>
      </c>
      <c r="G1219" s="7">
        <f t="shared" si="170"/>
        <v>1</v>
      </c>
      <c r="H1219" s="5">
        <f t="shared" ref="H1219:H1277" si="174">(B1219-B1218)/B1218</f>
        <v>1.6680323071520543E-3</v>
      </c>
      <c r="I1219" s="4">
        <f t="shared" ref="I1219:I1277" si="175">(C1219-C1218)/C1218</f>
        <v>-6.8393480791618163E-3</v>
      </c>
      <c r="J1219" s="4">
        <f t="shared" ref="J1219:J1277" si="176">(D1219-D1218)/D1218</f>
        <v>2.750832488779499E-3</v>
      </c>
      <c r="K1219" s="4">
        <f t="shared" ref="K1219:K1277" si="177">(E1219-E1218)/E1218</f>
        <v>7.3551044424830837E-4</v>
      </c>
      <c r="L1219" s="4">
        <f t="shared" ref="L1219:L1277" si="178">(F1219-F1218)/F1218</f>
        <v>0.15506607929515417</v>
      </c>
      <c r="M1219" s="3">
        <f t="shared" si="171"/>
        <v>7</v>
      </c>
      <c r="N1219" s="3">
        <f t="shared" si="172"/>
        <v>8</v>
      </c>
      <c r="O1219" s="3">
        <f t="shared" si="173"/>
        <v>1</v>
      </c>
    </row>
    <row r="1220" spans="1:15" x14ac:dyDescent="0.2">
      <c r="A1220" s="2">
        <v>45482</v>
      </c>
      <c r="B1220" s="3">
        <v>34042</v>
      </c>
      <c r="C1220" s="3">
        <v>34220</v>
      </c>
      <c r="D1220" s="3">
        <v>34320</v>
      </c>
      <c r="E1220" s="3">
        <v>33965</v>
      </c>
      <c r="F1220" s="3">
        <v>12170</v>
      </c>
      <c r="G1220" s="7">
        <f t="shared" ref="G1220:G1277" si="179">IF(H1220&lt;0, 0, 1)</f>
        <v>0</v>
      </c>
      <c r="H1220" s="5">
        <f t="shared" si="174"/>
        <v>-5.4632037161471267E-3</v>
      </c>
      <c r="I1220" s="4">
        <f t="shared" si="175"/>
        <v>2.7838827838827839E-3</v>
      </c>
      <c r="J1220" s="4">
        <f t="shared" si="176"/>
        <v>-8.9517759168351134E-3</v>
      </c>
      <c r="K1220" s="4">
        <f t="shared" si="177"/>
        <v>-1.4699397324709686E-3</v>
      </c>
      <c r="L1220" s="4">
        <f t="shared" si="178"/>
        <v>-7.1700991609458434E-2</v>
      </c>
      <c r="M1220" s="3">
        <f t="shared" si="171"/>
        <v>7</v>
      </c>
      <c r="N1220" s="3">
        <f t="shared" si="172"/>
        <v>9</v>
      </c>
      <c r="O1220" s="3">
        <f t="shared" si="173"/>
        <v>2</v>
      </c>
    </row>
    <row r="1221" spans="1:15" x14ac:dyDescent="0.2">
      <c r="A1221" s="2">
        <v>45483</v>
      </c>
      <c r="B1221" s="3">
        <v>34485</v>
      </c>
      <c r="C1221" s="3">
        <v>34030</v>
      </c>
      <c r="D1221" s="3">
        <v>34620</v>
      </c>
      <c r="E1221" s="3">
        <v>34015</v>
      </c>
      <c r="F1221" s="3">
        <v>11450</v>
      </c>
      <c r="G1221" s="7">
        <f t="shared" si="179"/>
        <v>1</v>
      </c>
      <c r="H1221" s="5">
        <f t="shared" si="174"/>
        <v>1.3013336466717583E-2</v>
      </c>
      <c r="I1221" s="4">
        <f t="shared" si="175"/>
        <v>-5.5523085914669784E-3</v>
      </c>
      <c r="J1221" s="4">
        <f t="shared" si="176"/>
        <v>8.7412587412587419E-3</v>
      </c>
      <c r="K1221" s="4">
        <f t="shared" si="177"/>
        <v>1.4721036360959812E-3</v>
      </c>
      <c r="L1221" s="4">
        <f t="shared" si="178"/>
        <v>-5.9161873459326213E-2</v>
      </c>
      <c r="M1221" s="3">
        <f t="shared" si="171"/>
        <v>7</v>
      </c>
      <c r="N1221" s="3">
        <f t="shared" si="172"/>
        <v>10</v>
      </c>
      <c r="O1221" s="3">
        <f t="shared" si="173"/>
        <v>3</v>
      </c>
    </row>
    <row r="1222" spans="1:15" x14ac:dyDescent="0.2">
      <c r="A1222" s="2">
        <v>45484</v>
      </c>
      <c r="B1222" s="3">
        <v>34489</v>
      </c>
      <c r="C1222" s="3">
        <v>34570</v>
      </c>
      <c r="D1222" s="3">
        <v>34650</v>
      </c>
      <c r="E1222" s="3">
        <v>34385</v>
      </c>
      <c r="F1222" s="3">
        <v>9860</v>
      </c>
      <c r="G1222" s="7">
        <f t="shared" si="179"/>
        <v>1</v>
      </c>
      <c r="H1222" s="5">
        <f t="shared" si="174"/>
        <v>1.1599246049006815E-4</v>
      </c>
      <c r="I1222" s="4">
        <f t="shared" si="175"/>
        <v>1.5868351454598882E-2</v>
      </c>
      <c r="J1222" s="4">
        <f t="shared" si="176"/>
        <v>8.6655112651646442E-4</v>
      </c>
      <c r="K1222" s="4">
        <f t="shared" si="177"/>
        <v>1.0877554020285169E-2</v>
      </c>
      <c r="L1222" s="4">
        <f t="shared" si="178"/>
        <v>-0.13886462882096071</v>
      </c>
      <c r="M1222" s="3">
        <f t="shared" si="171"/>
        <v>7</v>
      </c>
      <c r="N1222" s="3">
        <f t="shared" si="172"/>
        <v>11</v>
      </c>
      <c r="O1222" s="3">
        <f t="shared" si="173"/>
        <v>4</v>
      </c>
    </row>
    <row r="1223" spans="1:15" x14ac:dyDescent="0.2">
      <c r="A1223" s="2">
        <v>45485</v>
      </c>
      <c r="B1223" s="3">
        <v>34749</v>
      </c>
      <c r="C1223" s="3">
        <v>34550</v>
      </c>
      <c r="D1223" s="3">
        <v>34800</v>
      </c>
      <c r="E1223" s="3">
        <v>34540</v>
      </c>
      <c r="F1223" s="3">
        <v>10110</v>
      </c>
      <c r="G1223" s="7">
        <f t="shared" si="179"/>
        <v>1</v>
      </c>
      <c r="H1223" s="5">
        <f t="shared" si="174"/>
        <v>7.5386355069732378E-3</v>
      </c>
      <c r="I1223" s="4">
        <f t="shared" si="175"/>
        <v>-5.785363031530228E-4</v>
      </c>
      <c r="J1223" s="4">
        <f t="shared" si="176"/>
        <v>4.329004329004329E-3</v>
      </c>
      <c r="K1223" s="4">
        <f t="shared" si="177"/>
        <v>4.5077795550385342E-3</v>
      </c>
      <c r="L1223" s="4">
        <f t="shared" si="178"/>
        <v>2.5354969574036511E-2</v>
      </c>
      <c r="M1223" s="3">
        <f t="shared" si="171"/>
        <v>7</v>
      </c>
      <c r="N1223" s="3">
        <f t="shared" si="172"/>
        <v>12</v>
      </c>
      <c r="O1223" s="3">
        <f t="shared" si="173"/>
        <v>5</v>
      </c>
    </row>
    <row r="1224" spans="1:15" x14ac:dyDescent="0.2">
      <c r="A1224" s="2">
        <v>45488</v>
      </c>
      <c r="B1224" s="3">
        <v>34537</v>
      </c>
      <c r="C1224" s="3">
        <v>34665</v>
      </c>
      <c r="D1224" s="3">
        <v>34730</v>
      </c>
      <c r="E1224" s="3">
        <v>34435</v>
      </c>
      <c r="F1224" s="3">
        <v>9560</v>
      </c>
      <c r="G1224" s="7">
        <f t="shared" si="179"/>
        <v>0</v>
      </c>
      <c r="H1224" s="5">
        <f t="shared" si="174"/>
        <v>-6.1008949897838789E-3</v>
      </c>
      <c r="I1224" s="4">
        <f t="shared" si="175"/>
        <v>3.3285094066570187E-3</v>
      </c>
      <c r="J1224" s="4">
        <f t="shared" si="176"/>
        <v>-2.0114942528735632E-3</v>
      </c>
      <c r="K1224" s="4">
        <f t="shared" si="177"/>
        <v>-3.0399536768963521E-3</v>
      </c>
      <c r="L1224" s="4">
        <f t="shared" si="178"/>
        <v>-5.4401582591493573E-2</v>
      </c>
      <c r="M1224" s="3">
        <f t="shared" si="171"/>
        <v>7</v>
      </c>
      <c r="N1224" s="3">
        <f t="shared" si="172"/>
        <v>15</v>
      </c>
      <c r="O1224" s="3">
        <f t="shared" si="173"/>
        <v>1</v>
      </c>
    </row>
    <row r="1225" spans="1:15" x14ac:dyDescent="0.2">
      <c r="A1225" s="2">
        <v>45489</v>
      </c>
      <c r="B1225" s="3">
        <v>34522</v>
      </c>
      <c r="C1225" s="3">
        <v>34445</v>
      </c>
      <c r="D1225" s="3">
        <v>34685</v>
      </c>
      <c r="E1225" s="3">
        <v>34175</v>
      </c>
      <c r="F1225" s="3">
        <v>10150</v>
      </c>
      <c r="G1225" s="7">
        <f t="shared" si="179"/>
        <v>0</v>
      </c>
      <c r="H1225" s="5">
        <f t="shared" si="174"/>
        <v>-4.3431681964270204E-4</v>
      </c>
      <c r="I1225" s="4">
        <f t="shared" si="175"/>
        <v>-6.3464589643732871E-3</v>
      </c>
      <c r="J1225" s="4">
        <f t="shared" si="176"/>
        <v>-1.2957097610135329E-3</v>
      </c>
      <c r="K1225" s="4">
        <f t="shared" si="177"/>
        <v>-7.5504573834761146E-3</v>
      </c>
      <c r="L1225" s="4">
        <f t="shared" si="178"/>
        <v>6.1715481171548119E-2</v>
      </c>
      <c r="M1225" s="3">
        <f t="shared" si="171"/>
        <v>7</v>
      </c>
      <c r="N1225" s="3">
        <f t="shared" si="172"/>
        <v>16</v>
      </c>
      <c r="O1225" s="3">
        <f t="shared" si="173"/>
        <v>2</v>
      </c>
    </row>
    <row r="1226" spans="1:15" x14ac:dyDescent="0.2">
      <c r="A1226" s="2">
        <v>45490</v>
      </c>
      <c r="B1226" s="3">
        <v>34529</v>
      </c>
      <c r="C1226" s="3">
        <v>34580</v>
      </c>
      <c r="D1226" s="3">
        <v>34630</v>
      </c>
      <c r="E1226" s="3">
        <v>34315</v>
      </c>
      <c r="F1226" s="3">
        <v>15250</v>
      </c>
      <c r="G1226" s="7">
        <f t="shared" si="179"/>
        <v>1</v>
      </c>
      <c r="H1226" s="5">
        <f t="shared" si="174"/>
        <v>2.0276924859509877E-4</v>
      </c>
      <c r="I1226" s="4">
        <f t="shared" si="175"/>
        <v>3.9192916243286401E-3</v>
      </c>
      <c r="J1226" s="4">
        <f t="shared" si="176"/>
        <v>-1.5856998702609196E-3</v>
      </c>
      <c r="K1226" s="4">
        <f t="shared" si="177"/>
        <v>4.0965618141916606E-3</v>
      </c>
      <c r="L1226" s="4">
        <f t="shared" si="178"/>
        <v>0.50246305418719217</v>
      </c>
      <c r="M1226" s="3">
        <f t="shared" si="171"/>
        <v>7</v>
      </c>
      <c r="N1226" s="3">
        <f t="shared" si="172"/>
        <v>17</v>
      </c>
      <c r="O1226" s="3">
        <f t="shared" si="173"/>
        <v>3</v>
      </c>
    </row>
    <row r="1227" spans="1:15" x14ac:dyDescent="0.2">
      <c r="A1227" s="2">
        <v>45491</v>
      </c>
      <c r="B1227" s="3">
        <v>34671</v>
      </c>
      <c r="C1227" s="3">
        <v>34550</v>
      </c>
      <c r="D1227" s="3">
        <v>34915</v>
      </c>
      <c r="E1227" s="3">
        <v>34470</v>
      </c>
      <c r="F1227" s="3">
        <v>13080</v>
      </c>
      <c r="G1227" s="7">
        <f t="shared" si="179"/>
        <v>1</v>
      </c>
      <c r="H1227" s="5">
        <f t="shared" si="174"/>
        <v>4.1124851574039214E-3</v>
      </c>
      <c r="I1227" s="4">
        <f t="shared" si="175"/>
        <v>-8.6755349913244649E-4</v>
      </c>
      <c r="J1227" s="4">
        <f t="shared" si="176"/>
        <v>8.2298585041871205E-3</v>
      </c>
      <c r="K1227" s="4">
        <f t="shared" si="177"/>
        <v>4.5169750837826027E-3</v>
      </c>
      <c r="L1227" s="4">
        <f t="shared" si="178"/>
        <v>-0.14229508196721311</v>
      </c>
      <c r="M1227" s="3">
        <f t="shared" si="171"/>
        <v>7</v>
      </c>
      <c r="N1227" s="3">
        <f t="shared" si="172"/>
        <v>18</v>
      </c>
      <c r="O1227" s="3">
        <f t="shared" si="173"/>
        <v>4</v>
      </c>
    </row>
    <row r="1228" spans="1:15" x14ac:dyDescent="0.2">
      <c r="A1228" s="2">
        <v>45492</v>
      </c>
      <c r="B1228" s="3">
        <v>34344</v>
      </c>
      <c r="C1228" s="3">
        <v>34665</v>
      </c>
      <c r="D1228" s="3">
        <v>34670</v>
      </c>
      <c r="E1228" s="3">
        <v>34300</v>
      </c>
      <c r="F1228" s="3">
        <v>13760</v>
      </c>
      <c r="G1228" s="7">
        <f t="shared" si="179"/>
        <v>0</v>
      </c>
      <c r="H1228" s="5">
        <f t="shared" si="174"/>
        <v>-9.431513368521242E-3</v>
      </c>
      <c r="I1228" s="4">
        <f t="shared" si="175"/>
        <v>3.3285094066570187E-3</v>
      </c>
      <c r="J1228" s="4">
        <f t="shared" si="176"/>
        <v>-7.0170413862236857E-3</v>
      </c>
      <c r="K1228" s="4">
        <f t="shared" si="177"/>
        <v>-4.9318247751668114E-3</v>
      </c>
      <c r="L1228" s="4">
        <f t="shared" si="178"/>
        <v>5.1987767584097858E-2</v>
      </c>
      <c r="M1228" s="3">
        <f t="shared" si="171"/>
        <v>7</v>
      </c>
      <c r="N1228" s="3">
        <f t="shared" si="172"/>
        <v>19</v>
      </c>
      <c r="O1228" s="3">
        <f t="shared" si="173"/>
        <v>5</v>
      </c>
    </row>
    <row r="1229" spans="1:15" x14ac:dyDescent="0.2">
      <c r="A1229" s="2">
        <v>45495</v>
      </c>
      <c r="B1229" s="3">
        <v>34849</v>
      </c>
      <c r="C1229" s="3">
        <v>34420</v>
      </c>
      <c r="D1229" s="3">
        <v>35060</v>
      </c>
      <c r="E1229" s="3">
        <v>34360</v>
      </c>
      <c r="F1229" s="3">
        <v>12520</v>
      </c>
      <c r="G1229" s="7">
        <f t="shared" si="179"/>
        <v>1</v>
      </c>
      <c r="H1229" s="5">
        <f t="shared" si="174"/>
        <v>1.4704169578383415E-2</v>
      </c>
      <c r="I1229" s="4">
        <f t="shared" si="175"/>
        <v>-7.0676474830520695E-3</v>
      </c>
      <c r="J1229" s="4">
        <f t="shared" si="176"/>
        <v>1.1248918373233344E-2</v>
      </c>
      <c r="K1229" s="4">
        <f t="shared" si="177"/>
        <v>1.749271137026239E-3</v>
      </c>
      <c r="L1229" s="4">
        <f t="shared" si="178"/>
        <v>-9.0116279069767435E-2</v>
      </c>
      <c r="M1229" s="3">
        <f t="shared" si="171"/>
        <v>7</v>
      </c>
      <c r="N1229" s="3">
        <f t="shared" si="172"/>
        <v>22</v>
      </c>
      <c r="O1229" s="3">
        <f t="shared" si="173"/>
        <v>1</v>
      </c>
    </row>
    <row r="1230" spans="1:15" x14ac:dyDescent="0.2">
      <c r="A1230" s="2">
        <v>45496</v>
      </c>
      <c r="B1230" s="3">
        <v>34865</v>
      </c>
      <c r="C1230" s="3">
        <v>35005</v>
      </c>
      <c r="D1230" s="3">
        <v>35090</v>
      </c>
      <c r="E1230" s="3">
        <v>34765</v>
      </c>
      <c r="F1230" s="3">
        <v>11360</v>
      </c>
      <c r="G1230" s="7">
        <f t="shared" si="179"/>
        <v>1</v>
      </c>
      <c r="H1230" s="5">
        <f t="shared" si="174"/>
        <v>4.5912364773738128E-4</v>
      </c>
      <c r="I1230" s="4">
        <f t="shared" si="175"/>
        <v>1.6995932597327134E-2</v>
      </c>
      <c r="J1230" s="4">
        <f t="shared" si="176"/>
        <v>8.5567598402738168E-4</v>
      </c>
      <c r="K1230" s="4">
        <f t="shared" si="177"/>
        <v>1.1786961583236321E-2</v>
      </c>
      <c r="L1230" s="4">
        <f t="shared" si="178"/>
        <v>-9.2651757188498399E-2</v>
      </c>
      <c r="M1230" s="3">
        <f t="shared" si="171"/>
        <v>7</v>
      </c>
      <c r="N1230" s="3">
        <f t="shared" si="172"/>
        <v>23</v>
      </c>
      <c r="O1230" s="3">
        <f t="shared" si="173"/>
        <v>2</v>
      </c>
    </row>
    <row r="1231" spans="1:15" x14ac:dyDescent="0.2">
      <c r="A1231" s="2">
        <v>45497</v>
      </c>
      <c r="B1231" s="3">
        <v>34690</v>
      </c>
      <c r="C1231" s="3">
        <v>34740</v>
      </c>
      <c r="D1231" s="3">
        <v>34820</v>
      </c>
      <c r="E1231" s="3">
        <v>34385</v>
      </c>
      <c r="F1231" s="3">
        <v>14960</v>
      </c>
      <c r="G1231" s="7">
        <f t="shared" si="179"/>
        <v>0</v>
      </c>
      <c r="H1231" s="5">
        <f t="shared" si="174"/>
        <v>-5.0193603900760076E-3</v>
      </c>
      <c r="I1231" s="4">
        <f t="shared" si="175"/>
        <v>-7.5703470932723897E-3</v>
      </c>
      <c r="J1231" s="4">
        <f t="shared" si="176"/>
        <v>-7.694499857509262E-3</v>
      </c>
      <c r="K1231" s="4">
        <f t="shared" si="177"/>
        <v>-1.0930533582626205E-2</v>
      </c>
      <c r="L1231" s="4">
        <f t="shared" si="178"/>
        <v>0.31690140845070425</v>
      </c>
      <c r="M1231" s="3">
        <f t="shared" si="171"/>
        <v>7</v>
      </c>
      <c r="N1231" s="3">
        <f t="shared" si="172"/>
        <v>24</v>
      </c>
      <c r="O1231" s="3">
        <f t="shared" si="173"/>
        <v>3</v>
      </c>
    </row>
    <row r="1232" spans="1:15" x14ac:dyDescent="0.2">
      <c r="A1232" s="2">
        <v>45498</v>
      </c>
      <c r="B1232" s="3">
        <v>33975</v>
      </c>
      <c r="C1232" s="3">
        <v>34450</v>
      </c>
      <c r="D1232" s="3">
        <v>34450</v>
      </c>
      <c r="E1232" s="3">
        <v>33705</v>
      </c>
      <c r="F1232" s="3">
        <v>20280</v>
      </c>
      <c r="G1232" s="7">
        <f t="shared" si="179"/>
        <v>0</v>
      </c>
      <c r="H1232" s="5">
        <f t="shared" si="174"/>
        <v>-2.0611127125972902E-2</v>
      </c>
      <c r="I1232" s="4">
        <f t="shared" si="175"/>
        <v>-8.3477259643062757E-3</v>
      </c>
      <c r="J1232" s="4">
        <f t="shared" si="176"/>
        <v>-1.0626076967260195E-2</v>
      </c>
      <c r="K1232" s="4">
        <f t="shared" si="177"/>
        <v>-1.9776065144685183E-2</v>
      </c>
      <c r="L1232" s="4">
        <f t="shared" si="178"/>
        <v>0.35561497326203206</v>
      </c>
      <c r="M1232" s="3">
        <f t="shared" si="171"/>
        <v>7</v>
      </c>
      <c r="N1232" s="3">
        <f t="shared" si="172"/>
        <v>25</v>
      </c>
      <c r="O1232" s="3">
        <f t="shared" si="173"/>
        <v>4</v>
      </c>
    </row>
    <row r="1233" spans="1:15" x14ac:dyDescent="0.2">
      <c r="A1233" s="2">
        <v>45499</v>
      </c>
      <c r="B1233" s="3">
        <v>34015</v>
      </c>
      <c r="C1233" s="3">
        <v>33915</v>
      </c>
      <c r="D1233" s="3">
        <v>34165</v>
      </c>
      <c r="E1233" s="3">
        <v>33825</v>
      </c>
      <c r="F1233" s="3">
        <v>11830</v>
      </c>
      <c r="G1233" s="7">
        <f t="shared" si="179"/>
        <v>1</v>
      </c>
      <c r="H1233" s="5">
        <f t="shared" si="174"/>
        <v>1.177336276674025E-3</v>
      </c>
      <c r="I1233" s="4">
        <f t="shared" si="175"/>
        <v>-1.5529753265602322E-2</v>
      </c>
      <c r="J1233" s="4">
        <f t="shared" si="176"/>
        <v>-8.2728592162554428E-3</v>
      </c>
      <c r="K1233" s="4">
        <f t="shared" si="177"/>
        <v>3.5603026257231864E-3</v>
      </c>
      <c r="L1233" s="4">
        <f t="shared" si="178"/>
        <v>-0.41666666666666669</v>
      </c>
      <c r="M1233" s="3">
        <f t="shared" si="171"/>
        <v>7</v>
      </c>
      <c r="N1233" s="3">
        <f t="shared" si="172"/>
        <v>26</v>
      </c>
      <c r="O1233" s="3">
        <f t="shared" si="173"/>
        <v>5</v>
      </c>
    </row>
    <row r="1234" spans="1:15" x14ac:dyDescent="0.2">
      <c r="A1234" s="2">
        <v>45502</v>
      </c>
      <c r="B1234" s="3">
        <v>33839</v>
      </c>
      <c r="C1234" s="3">
        <v>34235</v>
      </c>
      <c r="D1234" s="3">
        <v>34270</v>
      </c>
      <c r="E1234" s="3">
        <v>33775</v>
      </c>
      <c r="F1234" s="3">
        <v>9460</v>
      </c>
      <c r="G1234" s="7">
        <f t="shared" si="179"/>
        <v>0</v>
      </c>
      <c r="H1234" s="5">
        <f t="shared" si="174"/>
        <v>-5.1741878582978098E-3</v>
      </c>
      <c r="I1234" s="4">
        <f t="shared" si="175"/>
        <v>9.4353530886038626E-3</v>
      </c>
      <c r="J1234" s="4">
        <f t="shared" si="176"/>
        <v>3.0733206497877944E-3</v>
      </c>
      <c r="K1234" s="4">
        <f t="shared" si="177"/>
        <v>-1.4781966001478197E-3</v>
      </c>
      <c r="L1234" s="4">
        <f t="shared" si="178"/>
        <v>-0.2003381234150465</v>
      </c>
      <c r="M1234" s="3">
        <f t="shared" si="171"/>
        <v>7</v>
      </c>
      <c r="N1234" s="3">
        <f t="shared" si="172"/>
        <v>29</v>
      </c>
      <c r="O1234" s="3">
        <f t="shared" si="173"/>
        <v>1</v>
      </c>
    </row>
    <row r="1235" spans="1:15" x14ac:dyDescent="0.2">
      <c r="A1235" s="2">
        <v>45503</v>
      </c>
      <c r="B1235" s="3">
        <v>34109</v>
      </c>
      <c r="C1235" s="3">
        <v>33875</v>
      </c>
      <c r="D1235" s="3">
        <v>34250</v>
      </c>
      <c r="E1235" s="3">
        <v>33845</v>
      </c>
      <c r="F1235" s="3">
        <v>12320</v>
      </c>
      <c r="G1235" s="7">
        <f t="shared" si="179"/>
        <v>1</v>
      </c>
      <c r="H1235" s="5">
        <f t="shared" si="174"/>
        <v>7.9789591891013326E-3</v>
      </c>
      <c r="I1235" s="4">
        <f t="shared" si="175"/>
        <v>-1.051555425733898E-2</v>
      </c>
      <c r="J1235" s="4">
        <f t="shared" si="176"/>
        <v>-5.8360081704114382E-4</v>
      </c>
      <c r="K1235" s="4">
        <f t="shared" si="177"/>
        <v>2.0725388601036268E-3</v>
      </c>
      <c r="L1235" s="4">
        <f t="shared" si="178"/>
        <v>0.30232558139534882</v>
      </c>
      <c r="M1235" s="3">
        <f t="shared" si="171"/>
        <v>7</v>
      </c>
      <c r="N1235" s="3">
        <f t="shared" si="172"/>
        <v>30</v>
      </c>
      <c r="O1235" s="3">
        <f t="shared" si="173"/>
        <v>2</v>
      </c>
    </row>
    <row r="1236" spans="1:15" x14ac:dyDescent="0.2">
      <c r="A1236" s="2">
        <v>45504</v>
      </c>
      <c r="B1236" s="3">
        <v>33955</v>
      </c>
      <c r="C1236" s="3">
        <v>34220</v>
      </c>
      <c r="D1236" s="3">
        <v>34335</v>
      </c>
      <c r="E1236" s="3">
        <v>33865</v>
      </c>
      <c r="F1236" s="3">
        <v>12920</v>
      </c>
      <c r="G1236" s="7">
        <f t="shared" si="179"/>
        <v>0</v>
      </c>
      <c r="H1236" s="5">
        <f t="shared" si="174"/>
        <v>-4.514937406549591E-3</v>
      </c>
      <c r="I1236" s="4">
        <f t="shared" si="175"/>
        <v>1.018450184501845E-2</v>
      </c>
      <c r="J1236" s="4">
        <f t="shared" si="176"/>
        <v>2.4817518248175185E-3</v>
      </c>
      <c r="K1236" s="4">
        <f t="shared" si="177"/>
        <v>5.9092923622396218E-4</v>
      </c>
      <c r="L1236" s="4">
        <f t="shared" si="178"/>
        <v>4.8701298701298704E-2</v>
      </c>
      <c r="M1236" s="3">
        <f t="shared" si="171"/>
        <v>7</v>
      </c>
      <c r="N1236" s="3">
        <f t="shared" si="172"/>
        <v>31</v>
      </c>
      <c r="O1236" s="3">
        <f t="shared" si="173"/>
        <v>3</v>
      </c>
    </row>
    <row r="1237" spans="1:15" x14ac:dyDescent="0.2">
      <c r="A1237" s="2">
        <v>45505</v>
      </c>
      <c r="B1237" s="3">
        <v>33035</v>
      </c>
      <c r="C1237" s="3">
        <v>34025</v>
      </c>
      <c r="D1237" s="3">
        <v>34030</v>
      </c>
      <c r="E1237" s="3">
        <v>32850</v>
      </c>
      <c r="F1237" s="3">
        <v>22720</v>
      </c>
      <c r="G1237" s="7">
        <f t="shared" si="179"/>
        <v>0</v>
      </c>
      <c r="H1237" s="5">
        <f t="shared" si="174"/>
        <v>-2.7094684140774556E-2</v>
      </c>
      <c r="I1237" s="4">
        <f t="shared" si="175"/>
        <v>-5.6984219754529514E-3</v>
      </c>
      <c r="J1237" s="4">
        <f t="shared" si="176"/>
        <v>-8.8830639289354894E-3</v>
      </c>
      <c r="K1237" s="4">
        <f t="shared" si="177"/>
        <v>-2.9971947438358185E-2</v>
      </c>
      <c r="L1237" s="4">
        <f t="shared" si="178"/>
        <v>0.75851393188854488</v>
      </c>
      <c r="M1237" s="3">
        <f t="shared" si="171"/>
        <v>8</v>
      </c>
      <c r="N1237" s="3">
        <f t="shared" si="172"/>
        <v>1</v>
      </c>
      <c r="O1237" s="3">
        <f t="shared" si="173"/>
        <v>4</v>
      </c>
    </row>
    <row r="1238" spans="1:15" x14ac:dyDescent="0.2">
      <c r="A1238" s="2">
        <v>45506</v>
      </c>
      <c r="B1238" s="3">
        <v>32180</v>
      </c>
      <c r="C1238" s="3">
        <v>32750</v>
      </c>
      <c r="D1238" s="3">
        <v>32750</v>
      </c>
      <c r="E1238" s="3">
        <v>32020</v>
      </c>
      <c r="F1238" s="3">
        <v>28220</v>
      </c>
      <c r="G1238" s="7">
        <f t="shared" si="179"/>
        <v>0</v>
      </c>
      <c r="H1238" s="5">
        <f t="shared" si="174"/>
        <v>-2.5881640684122902E-2</v>
      </c>
      <c r="I1238" s="4">
        <f t="shared" si="175"/>
        <v>-3.7472446730345332E-2</v>
      </c>
      <c r="J1238" s="4">
        <f t="shared" si="176"/>
        <v>-3.7613870114604764E-2</v>
      </c>
      <c r="K1238" s="4">
        <f t="shared" si="177"/>
        <v>-2.5266362252663623E-2</v>
      </c>
      <c r="L1238" s="4">
        <f t="shared" si="178"/>
        <v>0.2420774647887324</v>
      </c>
      <c r="M1238" s="3">
        <f t="shared" si="171"/>
        <v>8</v>
      </c>
      <c r="N1238" s="3">
        <f t="shared" si="172"/>
        <v>2</v>
      </c>
      <c r="O1238" s="3">
        <f t="shared" si="173"/>
        <v>5</v>
      </c>
    </row>
    <row r="1239" spans="1:15" x14ac:dyDescent="0.2">
      <c r="A1239" s="2">
        <v>45509</v>
      </c>
      <c r="B1239" s="3">
        <v>31444</v>
      </c>
      <c r="C1239" s="3">
        <v>31450</v>
      </c>
      <c r="D1239" s="3">
        <v>31665</v>
      </c>
      <c r="E1239" s="3">
        <v>30660</v>
      </c>
      <c r="F1239" s="3">
        <v>41560</v>
      </c>
      <c r="G1239" s="7">
        <f t="shared" si="179"/>
        <v>0</v>
      </c>
      <c r="H1239" s="5">
        <f t="shared" si="174"/>
        <v>-2.2871348663766316E-2</v>
      </c>
      <c r="I1239" s="4">
        <f t="shared" si="175"/>
        <v>-3.9694656488549619E-2</v>
      </c>
      <c r="J1239" s="4">
        <f t="shared" si="176"/>
        <v>-3.3129770992366414E-2</v>
      </c>
      <c r="K1239" s="4">
        <f t="shared" si="177"/>
        <v>-4.2473454091193005E-2</v>
      </c>
      <c r="L1239" s="4">
        <f t="shared" si="178"/>
        <v>0.47271438695960311</v>
      </c>
      <c r="M1239" s="3">
        <f t="shared" si="171"/>
        <v>8</v>
      </c>
      <c r="N1239" s="3">
        <f t="shared" si="172"/>
        <v>5</v>
      </c>
      <c r="O1239" s="3">
        <f t="shared" si="173"/>
        <v>1</v>
      </c>
    </row>
    <row r="1240" spans="1:15" x14ac:dyDescent="0.2">
      <c r="A1240" s="2">
        <v>45510</v>
      </c>
      <c r="B1240" s="3">
        <v>31256</v>
      </c>
      <c r="C1240" s="3">
        <v>31790</v>
      </c>
      <c r="D1240" s="3">
        <v>31850</v>
      </c>
      <c r="E1240" s="3">
        <v>31010</v>
      </c>
      <c r="F1240" s="3">
        <v>30340</v>
      </c>
      <c r="G1240" s="7">
        <f t="shared" si="179"/>
        <v>0</v>
      </c>
      <c r="H1240" s="5">
        <f t="shared" si="174"/>
        <v>-5.978883093753975E-3</v>
      </c>
      <c r="I1240" s="4">
        <f t="shared" si="175"/>
        <v>1.0810810810810811E-2</v>
      </c>
      <c r="J1240" s="4">
        <f t="shared" si="176"/>
        <v>5.8424127585662402E-3</v>
      </c>
      <c r="K1240" s="4">
        <f t="shared" si="177"/>
        <v>1.1415525114155251E-2</v>
      </c>
      <c r="L1240" s="4">
        <f t="shared" si="178"/>
        <v>-0.26997112608277191</v>
      </c>
      <c r="M1240" s="3">
        <f t="shared" si="171"/>
        <v>8</v>
      </c>
      <c r="N1240" s="3">
        <f t="shared" si="172"/>
        <v>6</v>
      </c>
      <c r="O1240" s="3">
        <f t="shared" si="173"/>
        <v>2</v>
      </c>
    </row>
    <row r="1241" spans="1:15" x14ac:dyDescent="0.2">
      <c r="A1241" s="2">
        <v>45511</v>
      </c>
      <c r="B1241" s="3">
        <v>31978</v>
      </c>
      <c r="C1241" s="3">
        <v>31590</v>
      </c>
      <c r="D1241" s="3">
        <v>32065</v>
      </c>
      <c r="E1241" s="3">
        <v>31355</v>
      </c>
      <c r="F1241" s="3">
        <v>22970</v>
      </c>
      <c r="G1241" s="7">
        <f t="shared" si="179"/>
        <v>1</v>
      </c>
      <c r="H1241" s="5">
        <f t="shared" si="174"/>
        <v>2.309956488354236E-2</v>
      </c>
      <c r="I1241" s="4">
        <f t="shared" si="175"/>
        <v>-6.2912865681031774E-3</v>
      </c>
      <c r="J1241" s="4">
        <f t="shared" si="176"/>
        <v>6.7503924646781788E-3</v>
      </c>
      <c r="K1241" s="4">
        <f t="shared" si="177"/>
        <v>1.1125443405353113E-2</v>
      </c>
      <c r="L1241" s="4">
        <f t="shared" si="178"/>
        <v>-0.24291364535266974</v>
      </c>
      <c r="M1241" s="3">
        <f t="shared" si="171"/>
        <v>8</v>
      </c>
      <c r="N1241" s="3">
        <f t="shared" si="172"/>
        <v>7</v>
      </c>
      <c r="O1241" s="3">
        <f t="shared" si="173"/>
        <v>3</v>
      </c>
    </row>
    <row r="1242" spans="1:15" x14ac:dyDescent="0.2">
      <c r="A1242" s="2">
        <v>45512</v>
      </c>
      <c r="B1242" s="3">
        <v>31882</v>
      </c>
      <c r="C1242" s="3">
        <v>31665</v>
      </c>
      <c r="D1242" s="3">
        <v>32010</v>
      </c>
      <c r="E1242" s="3">
        <v>31415</v>
      </c>
      <c r="F1242" s="3">
        <v>17830</v>
      </c>
      <c r="G1242" s="7">
        <f t="shared" si="179"/>
        <v>0</v>
      </c>
      <c r="H1242" s="5">
        <f t="shared" si="174"/>
        <v>-3.0020639189442741E-3</v>
      </c>
      <c r="I1242" s="4">
        <f t="shared" si="175"/>
        <v>2.3741690408357074E-3</v>
      </c>
      <c r="J1242" s="4">
        <f t="shared" si="176"/>
        <v>-1.7152658662092624E-3</v>
      </c>
      <c r="K1242" s="4">
        <f t="shared" si="177"/>
        <v>1.9135704034444268E-3</v>
      </c>
      <c r="L1242" s="4">
        <f t="shared" si="178"/>
        <v>-0.2237701349586417</v>
      </c>
      <c r="M1242" s="3">
        <f t="shared" si="171"/>
        <v>8</v>
      </c>
      <c r="N1242" s="3">
        <f t="shared" si="172"/>
        <v>8</v>
      </c>
      <c r="O1242" s="3">
        <f t="shared" si="173"/>
        <v>4</v>
      </c>
    </row>
    <row r="1243" spans="1:15" x14ac:dyDescent="0.2">
      <c r="A1243" s="2">
        <v>45513</v>
      </c>
      <c r="B1243" s="3">
        <v>31921</v>
      </c>
      <c r="C1243" s="3">
        <v>31910</v>
      </c>
      <c r="D1243" s="3">
        <v>32200</v>
      </c>
      <c r="E1243" s="3">
        <v>31760</v>
      </c>
      <c r="F1243" s="3">
        <v>11200</v>
      </c>
      <c r="G1243" s="7">
        <f t="shared" si="179"/>
        <v>1</v>
      </c>
      <c r="H1243" s="5">
        <f t="shared" si="174"/>
        <v>1.2232607741045104E-3</v>
      </c>
      <c r="I1243" s="4">
        <f t="shared" si="175"/>
        <v>7.7372493289120476E-3</v>
      </c>
      <c r="J1243" s="4">
        <f t="shared" si="176"/>
        <v>5.9356451109028431E-3</v>
      </c>
      <c r="K1243" s="4">
        <f t="shared" si="177"/>
        <v>1.0982014961005889E-2</v>
      </c>
      <c r="L1243" s="4">
        <f t="shared" si="178"/>
        <v>-0.37184520471116095</v>
      </c>
      <c r="M1243" s="3">
        <f t="shared" si="171"/>
        <v>8</v>
      </c>
      <c r="N1243" s="3">
        <f t="shared" si="172"/>
        <v>9</v>
      </c>
      <c r="O1243" s="3">
        <f t="shared" si="173"/>
        <v>5</v>
      </c>
    </row>
    <row r="1244" spans="1:15" x14ac:dyDescent="0.2">
      <c r="A1244" s="2">
        <v>45516</v>
      </c>
      <c r="B1244" s="3">
        <v>32065</v>
      </c>
      <c r="C1244" s="3">
        <v>32005</v>
      </c>
      <c r="D1244" s="3">
        <v>32205</v>
      </c>
      <c r="E1244" s="3">
        <v>31940</v>
      </c>
      <c r="F1244" s="3">
        <v>9200</v>
      </c>
      <c r="G1244" s="7">
        <f t="shared" si="179"/>
        <v>1</v>
      </c>
      <c r="H1244" s="5">
        <f t="shared" si="174"/>
        <v>4.5111368691457031E-3</v>
      </c>
      <c r="I1244" s="4">
        <f t="shared" si="175"/>
        <v>2.9771231588843622E-3</v>
      </c>
      <c r="J1244" s="4">
        <f t="shared" si="176"/>
        <v>1.5527950310559007E-4</v>
      </c>
      <c r="K1244" s="4">
        <f t="shared" si="177"/>
        <v>5.6675062972292188E-3</v>
      </c>
      <c r="L1244" s="4">
        <f t="shared" si="178"/>
        <v>-0.17857142857142858</v>
      </c>
      <c r="M1244" s="3">
        <f t="shared" si="171"/>
        <v>8</v>
      </c>
      <c r="N1244" s="3">
        <f t="shared" si="172"/>
        <v>12</v>
      </c>
      <c r="O1244" s="3">
        <f t="shared" si="173"/>
        <v>1</v>
      </c>
    </row>
    <row r="1245" spans="1:15" x14ac:dyDescent="0.2">
      <c r="A1245" s="2">
        <v>45517</v>
      </c>
      <c r="B1245" s="3">
        <v>32137</v>
      </c>
      <c r="C1245" s="3">
        <v>32155</v>
      </c>
      <c r="D1245" s="3">
        <v>32265</v>
      </c>
      <c r="E1245" s="3">
        <v>31910</v>
      </c>
      <c r="F1245" s="3">
        <v>9340</v>
      </c>
      <c r="G1245" s="7">
        <f t="shared" si="179"/>
        <v>1</v>
      </c>
      <c r="H1245" s="5">
        <f t="shared" si="174"/>
        <v>2.2454389521284891E-3</v>
      </c>
      <c r="I1245" s="4">
        <f t="shared" si="175"/>
        <v>4.6867676925480394E-3</v>
      </c>
      <c r="J1245" s="4">
        <f t="shared" si="176"/>
        <v>1.8630647414997672E-3</v>
      </c>
      <c r="K1245" s="4">
        <f t="shared" si="177"/>
        <v>-9.3926111458985599E-4</v>
      </c>
      <c r="L1245" s="4">
        <f t="shared" si="178"/>
        <v>1.5217391304347827E-2</v>
      </c>
      <c r="M1245" s="3">
        <f t="shared" si="171"/>
        <v>8</v>
      </c>
      <c r="N1245" s="3">
        <f t="shared" si="172"/>
        <v>13</v>
      </c>
      <c r="O1245" s="3">
        <f t="shared" si="173"/>
        <v>2</v>
      </c>
    </row>
    <row r="1246" spans="1:15" x14ac:dyDescent="0.2">
      <c r="A1246" s="2">
        <v>45518</v>
      </c>
      <c r="B1246" s="3">
        <v>32458</v>
      </c>
      <c r="C1246" s="3">
        <v>32250</v>
      </c>
      <c r="D1246" s="3">
        <v>32535</v>
      </c>
      <c r="E1246" s="3">
        <v>32250</v>
      </c>
      <c r="F1246" s="3">
        <v>12360</v>
      </c>
      <c r="G1246" s="7">
        <f t="shared" si="179"/>
        <v>1</v>
      </c>
      <c r="H1246" s="5">
        <f t="shared" si="174"/>
        <v>9.9884867909263465E-3</v>
      </c>
      <c r="I1246" s="4">
        <f t="shared" si="175"/>
        <v>2.9544394339916032E-3</v>
      </c>
      <c r="J1246" s="4">
        <f t="shared" si="176"/>
        <v>8.368200836820083E-3</v>
      </c>
      <c r="K1246" s="4">
        <f t="shared" si="177"/>
        <v>1.0654967094954559E-2</v>
      </c>
      <c r="L1246" s="4">
        <f t="shared" si="178"/>
        <v>0.32334047109207709</v>
      </c>
      <c r="M1246" s="3">
        <f t="shared" si="171"/>
        <v>8</v>
      </c>
      <c r="N1246" s="3">
        <f t="shared" si="172"/>
        <v>14</v>
      </c>
      <c r="O1246" s="3">
        <f t="shared" si="173"/>
        <v>3</v>
      </c>
    </row>
    <row r="1247" spans="1:15" x14ac:dyDescent="0.2">
      <c r="A1247" s="2">
        <v>45520</v>
      </c>
      <c r="B1247" s="3">
        <v>33168</v>
      </c>
      <c r="C1247" s="3">
        <v>33020</v>
      </c>
      <c r="D1247" s="3">
        <v>33280</v>
      </c>
      <c r="E1247" s="3">
        <v>32945</v>
      </c>
      <c r="F1247" s="3">
        <v>12940</v>
      </c>
      <c r="G1247" s="7">
        <f t="shared" si="179"/>
        <v>1</v>
      </c>
      <c r="H1247" s="5">
        <f t="shared" si="174"/>
        <v>2.1874422330396204E-2</v>
      </c>
      <c r="I1247" s="4">
        <f t="shared" si="175"/>
        <v>2.3875968992248062E-2</v>
      </c>
      <c r="J1247" s="4">
        <f t="shared" si="176"/>
        <v>2.2898417089288459E-2</v>
      </c>
      <c r="K1247" s="4">
        <f t="shared" si="177"/>
        <v>2.1550387596899225E-2</v>
      </c>
      <c r="L1247" s="4">
        <f t="shared" si="178"/>
        <v>4.6925566343042069E-2</v>
      </c>
      <c r="M1247" s="3">
        <f t="shared" si="171"/>
        <v>8</v>
      </c>
      <c r="N1247" s="3">
        <f t="shared" si="172"/>
        <v>16</v>
      </c>
      <c r="O1247" s="3">
        <f t="shared" si="173"/>
        <v>5</v>
      </c>
    </row>
    <row r="1248" spans="1:15" x14ac:dyDescent="0.2">
      <c r="A1248" s="2">
        <v>45523</v>
      </c>
      <c r="B1248" s="3">
        <v>33384</v>
      </c>
      <c r="C1248" s="3">
        <v>33190</v>
      </c>
      <c r="D1248" s="3">
        <v>33490</v>
      </c>
      <c r="E1248" s="3">
        <v>33165</v>
      </c>
      <c r="F1248" s="3">
        <v>8330</v>
      </c>
      <c r="G1248" s="7">
        <f t="shared" si="179"/>
        <v>1</v>
      </c>
      <c r="H1248" s="5">
        <f t="shared" si="174"/>
        <v>6.5123010130246021E-3</v>
      </c>
      <c r="I1248" s="4">
        <f t="shared" si="175"/>
        <v>5.1483949121744399E-3</v>
      </c>
      <c r="J1248" s="4">
        <f t="shared" si="176"/>
        <v>6.310096153846154E-3</v>
      </c>
      <c r="K1248" s="4">
        <f t="shared" si="177"/>
        <v>6.6777963272120202E-3</v>
      </c>
      <c r="L1248" s="4">
        <f t="shared" si="178"/>
        <v>-0.35625965996908809</v>
      </c>
      <c r="M1248" s="3">
        <f t="shared" si="171"/>
        <v>8</v>
      </c>
      <c r="N1248" s="3">
        <f t="shared" si="172"/>
        <v>19</v>
      </c>
      <c r="O1248" s="3">
        <f t="shared" si="173"/>
        <v>1</v>
      </c>
    </row>
    <row r="1249" spans="1:15" x14ac:dyDescent="0.2">
      <c r="A1249" s="2">
        <v>45524</v>
      </c>
      <c r="B1249" s="3">
        <v>33194</v>
      </c>
      <c r="C1249" s="3">
        <v>33435</v>
      </c>
      <c r="D1249" s="3">
        <v>33585</v>
      </c>
      <c r="E1249" s="3">
        <v>33100</v>
      </c>
      <c r="F1249" s="3">
        <v>8920</v>
      </c>
      <c r="G1249" s="7">
        <f t="shared" si="179"/>
        <v>0</v>
      </c>
      <c r="H1249" s="5">
        <f t="shared" si="174"/>
        <v>-5.6913491492930745E-3</v>
      </c>
      <c r="I1249" s="4">
        <f t="shared" si="175"/>
        <v>7.3817414884001205E-3</v>
      </c>
      <c r="J1249" s="4">
        <f t="shared" si="176"/>
        <v>2.8366676619886533E-3</v>
      </c>
      <c r="K1249" s="4">
        <f t="shared" si="177"/>
        <v>-1.9598974822855422E-3</v>
      </c>
      <c r="L1249" s="4">
        <f t="shared" si="178"/>
        <v>7.0828331332533009E-2</v>
      </c>
      <c r="M1249" s="3">
        <f t="shared" si="171"/>
        <v>8</v>
      </c>
      <c r="N1249" s="3">
        <f t="shared" si="172"/>
        <v>20</v>
      </c>
      <c r="O1249" s="3">
        <f t="shared" si="173"/>
        <v>2</v>
      </c>
    </row>
    <row r="1250" spans="1:15" x14ac:dyDescent="0.2">
      <c r="A1250" s="2">
        <v>45525</v>
      </c>
      <c r="B1250" s="3">
        <v>33428</v>
      </c>
      <c r="C1250" s="3">
        <v>33190</v>
      </c>
      <c r="D1250" s="3">
        <v>33505</v>
      </c>
      <c r="E1250" s="3">
        <v>33175</v>
      </c>
      <c r="F1250" s="3">
        <v>7290</v>
      </c>
      <c r="G1250" s="7">
        <f t="shared" si="179"/>
        <v>1</v>
      </c>
      <c r="H1250" s="5">
        <f t="shared" si="174"/>
        <v>7.0494667711032116E-3</v>
      </c>
      <c r="I1250" s="4">
        <f t="shared" si="175"/>
        <v>-7.3276506654703158E-3</v>
      </c>
      <c r="J1250" s="4">
        <f t="shared" si="176"/>
        <v>-2.382015780854548E-3</v>
      </c>
      <c r="K1250" s="4">
        <f t="shared" si="177"/>
        <v>2.2658610271903325E-3</v>
      </c>
      <c r="L1250" s="4">
        <f t="shared" si="178"/>
        <v>-0.18273542600896861</v>
      </c>
      <c r="M1250" s="3">
        <f t="shared" si="171"/>
        <v>8</v>
      </c>
      <c r="N1250" s="3">
        <f t="shared" si="172"/>
        <v>21</v>
      </c>
      <c r="O1250" s="3">
        <f t="shared" si="173"/>
        <v>3</v>
      </c>
    </row>
    <row r="1251" spans="1:15" x14ac:dyDescent="0.2">
      <c r="A1251" s="2">
        <v>45526</v>
      </c>
      <c r="B1251" s="3">
        <v>33412</v>
      </c>
      <c r="C1251" s="3">
        <v>33400</v>
      </c>
      <c r="D1251" s="3">
        <v>33535</v>
      </c>
      <c r="E1251" s="3">
        <v>33310</v>
      </c>
      <c r="F1251" s="3">
        <v>7420</v>
      </c>
      <c r="G1251" s="7">
        <f t="shared" si="179"/>
        <v>0</v>
      </c>
      <c r="H1251" s="5">
        <f t="shared" si="174"/>
        <v>-4.7864066052411155E-4</v>
      </c>
      <c r="I1251" s="4">
        <f t="shared" si="175"/>
        <v>6.3272069900572464E-3</v>
      </c>
      <c r="J1251" s="4">
        <f t="shared" si="176"/>
        <v>8.9538874794806741E-4</v>
      </c>
      <c r="K1251" s="4">
        <f t="shared" si="177"/>
        <v>4.0693293142426527E-3</v>
      </c>
      <c r="L1251" s="4">
        <f t="shared" si="178"/>
        <v>1.7832647462277092E-2</v>
      </c>
      <c r="M1251" s="3">
        <f t="shared" si="171"/>
        <v>8</v>
      </c>
      <c r="N1251" s="3">
        <f t="shared" si="172"/>
        <v>22</v>
      </c>
      <c r="O1251" s="3">
        <f t="shared" si="173"/>
        <v>4</v>
      </c>
    </row>
    <row r="1252" spans="1:15" x14ac:dyDescent="0.2">
      <c r="A1252" s="2">
        <v>45527</v>
      </c>
      <c r="B1252" s="3">
        <v>33754</v>
      </c>
      <c r="C1252" s="3">
        <v>33430</v>
      </c>
      <c r="D1252" s="3">
        <v>33810</v>
      </c>
      <c r="E1252" s="3">
        <v>33430</v>
      </c>
      <c r="F1252" s="3">
        <v>9270</v>
      </c>
      <c r="G1252" s="7">
        <f t="shared" si="179"/>
        <v>1</v>
      </c>
      <c r="H1252" s="5">
        <f t="shared" si="174"/>
        <v>1.0235843409553453E-2</v>
      </c>
      <c r="I1252" s="4">
        <f t="shared" si="175"/>
        <v>8.9820359281437125E-4</v>
      </c>
      <c r="J1252" s="4">
        <f t="shared" si="176"/>
        <v>8.200387654689131E-3</v>
      </c>
      <c r="K1252" s="4">
        <f t="shared" si="177"/>
        <v>3.6025217652356648E-3</v>
      </c>
      <c r="L1252" s="4">
        <f t="shared" si="178"/>
        <v>0.24932614555256064</v>
      </c>
      <c r="M1252" s="3">
        <f t="shared" si="171"/>
        <v>8</v>
      </c>
      <c r="N1252" s="3">
        <f t="shared" si="172"/>
        <v>23</v>
      </c>
      <c r="O1252" s="3">
        <f t="shared" si="173"/>
        <v>5</v>
      </c>
    </row>
    <row r="1253" spans="1:15" x14ac:dyDescent="0.2">
      <c r="A1253" s="2">
        <v>45530</v>
      </c>
      <c r="B1253" s="3">
        <v>33704</v>
      </c>
      <c r="C1253" s="3">
        <v>33690</v>
      </c>
      <c r="D1253" s="3">
        <v>33800</v>
      </c>
      <c r="E1253" s="3">
        <v>33640</v>
      </c>
      <c r="F1253" s="3">
        <v>5700</v>
      </c>
      <c r="G1253" s="7">
        <f t="shared" si="179"/>
        <v>0</v>
      </c>
      <c r="H1253" s="5">
        <f t="shared" si="174"/>
        <v>-1.4813059192984536E-3</v>
      </c>
      <c r="I1253" s="4">
        <f t="shared" si="175"/>
        <v>7.7774454083158837E-3</v>
      </c>
      <c r="J1253" s="4">
        <f t="shared" si="176"/>
        <v>-2.9577048210588581E-4</v>
      </c>
      <c r="K1253" s="4">
        <f t="shared" si="177"/>
        <v>6.2817828297935989E-3</v>
      </c>
      <c r="L1253" s="4">
        <f t="shared" si="178"/>
        <v>-0.38511326860841422</v>
      </c>
      <c r="M1253" s="3">
        <f t="shared" si="171"/>
        <v>8</v>
      </c>
      <c r="N1253" s="3">
        <f t="shared" si="172"/>
        <v>26</v>
      </c>
      <c r="O1253" s="3">
        <f t="shared" si="173"/>
        <v>1</v>
      </c>
    </row>
    <row r="1254" spans="1:15" x14ac:dyDescent="0.2">
      <c r="A1254" s="2">
        <v>45531</v>
      </c>
      <c r="B1254" s="3">
        <v>33874</v>
      </c>
      <c r="C1254" s="3">
        <v>33750</v>
      </c>
      <c r="D1254" s="3">
        <v>33935</v>
      </c>
      <c r="E1254" s="3">
        <v>33710</v>
      </c>
      <c r="F1254" s="3">
        <v>9160</v>
      </c>
      <c r="G1254" s="7">
        <f t="shared" si="179"/>
        <v>1</v>
      </c>
      <c r="H1254" s="5">
        <f t="shared" si="174"/>
        <v>5.0439117018751482E-3</v>
      </c>
      <c r="I1254" s="4">
        <f t="shared" si="175"/>
        <v>1.7809439002671415E-3</v>
      </c>
      <c r="J1254" s="4">
        <f t="shared" si="176"/>
        <v>3.9940828402366861E-3</v>
      </c>
      <c r="K1254" s="4">
        <f t="shared" si="177"/>
        <v>2.0808561236623068E-3</v>
      </c>
      <c r="L1254" s="4">
        <f t="shared" si="178"/>
        <v>0.60701754385964912</v>
      </c>
      <c r="M1254" s="3">
        <f t="shared" si="171"/>
        <v>8</v>
      </c>
      <c r="N1254" s="3">
        <f t="shared" si="172"/>
        <v>27</v>
      </c>
      <c r="O1254" s="3">
        <f t="shared" si="173"/>
        <v>2</v>
      </c>
    </row>
    <row r="1255" spans="1:15" x14ac:dyDescent="0.2">
      <c r="A1255" s="2">
        <v>45532</v>
      </c>
      <c r="B1255" s="3">
        <v>33977</v>
      </c>
      <c r="C1255" s="3">
        <v>33910</v>
      </c>
      <c r="D1255" s="3">
        <v>34060</v>
      </c>
      <c r="E1255" s="3">
        <v>33885</v>
      </c>
      <c r="F1255" s="3">
        <v>8710</v>
      </c>
      <c r="G1255" s="7">
        <f t="shared" si="179"/>
        <v>1</v>
      </c>
      <c r="H1255" s="5">
        <f t="shared" si="174"/>
        <v>3.0406801676802265E-3</v>
      </c>
      <c r="I1255" s="4">
        <f t="shared" si="175"/>
        <v>4.7407407407407407E-3</v>
      </c>
      <c r="J1255" s="4">
        <f t="shared" si="176"/>
        <v>3.6835125976130839E-3</v>
      </c>
      <c r="K1255" s="4">
        <f t="shared" si="177"/>
        <v>5.1913378819341445E-3</v>
      </c>
      <c r="L1255" s="4">
        <f t="shared" si="178"/>
        <v>-4.9126637554585149E-2</v>
      </c>
      <c r="M1255" s="3">
        <f t="shared" si="171"/>
        <v>8</v>
      </c>
      <c r="N1255" s="3">
        <f t="shared" si="172"/>
        <v>28</v>
      </c>
      <c r="O1255" s="3">
        <f t="shared" si="173"/>
        <v>3</v>
      </c>
    </row>
    <row r="1256" spans="1:15" x14ac:dyDescent="0.2">
      <c r="A1256" s="2">
        <v>45533</v>
      </c>
      <c r="B1256" s="3">
        <v>34276</v>
      </c>
      <c r="C1256" s="3">
        <v>33975</v>
      </c>
      <c r="D1256" s="3">
        <v>34385</v>
      </c>
      <c r="E1256" s="3">
        <v>33965</v>
      </c>
      <c r="F1256" s="3">
        <v>12730</v>
      </c>
      <c r="G1256" s="7">
        <f t="shared" si="179"/>
        <v>1</v>
      </c>
      <c r="H1256" s="5">
        <f t="shared" si="174"/>
        <v>8.8000706360184828E-3</v>
      </c>
      <c r="I1256" s="4">
        <f t="shared" si="175"/>
        <v>1.9168386906517252E-3</v>
      </c>
      <c r="J1256" s="4">
        <f t="shared" si="176"/>
        <v>9.5419847328244278E-3</v>
      </c>
      <c r="K1256" s="4">
        <f t="shared" si="177"/>
        <v>2.3609266637155085E-3</v>
      </c>
      <c r="L1256" s="4">
        <f t="shared" si="178"/>
        <v>0.46153846153846156</v>
      </c>
      <c r="M1256" s="3">
        <f t="shared" si="171"/>
        <v>8</v>
      </c>
      <c r="N1256" s="3">
        <f t="shared" si="172"/>
        <v>29</v>
      </c>
      <c r="O1256" s="3">
        <f t="shared" si="173"/>
        <v>4</v>
      </c>
    </row>
    <row r="1257" spans="1:15" x14ac:dyDescent="0.2">
      <c r="A1257" s="2">
        <v>45534</v>
      </c>
      <c r="B1257" s="3">
        <v>34456</v>
      </c>
      <c r="C1257" s="3">
        <v>34325</v>
      </c>
      <c r="D1257" s="3">
        <v>34550</v>
      </c>
      <c r="E1257" s="3">
        <v>34285</v>
      </c>
      <c r="F1257" s="3">
        <v>12560</v>
      </c>
      <c r="G1257" s="7">
        <f t="shared" si="179"/>
        <v>1</v>
      </c>
      <c r="H1257" s="5">
        <f t="shared" si="174"/>
        <v>5.2514879215777802E-3</v>
      </c>
      <c r="I1257" s="4">
        <f t="shared" si="175"/>
        <v>1.0301692420897719E-2</v>
      </c>
      <c r="J1257" s="4">
        <f t="shared" si="176"/>
        <v>4.7986040424603752E-3</v>
      </c>
      <c r="K1257" s="4">
        <f t="shared" si="177"/>
        <v>9.4214632710142802E-3</v>
      </c>
      <c r="L1257" s="4">
        <f t="shared" si="178"/>
        <v>-1.3354281225451689E-2</v>
      </c>
      <c r="M1257" s="3">
        <f t="shared" si="171"/>
        <v>8</v>
      </c>
      <c r="N1257" s="3">
        <f t="shared" si="172"/>
        <v>30</v>
      </c>
      <c r="O1257" s="3">
        <f t="shared" si="173"/>
        <v>5</v>
      </c>
    </row>
    <row r="1258" spans="1:15" x14ac:dyDescent="0.2">
      <c r="A1258" s="2">
        <v>45537</v>
      </c>
      <c r="B1258" s="3">
        <v>34397</v>
      </c>
      <c r="C1258" s="3">
        <v>34500</v>
      </c>
      <c r="D1258" s="3">
        <v>34525</v>
      </c>
      <c r="E1258" s="3">
        <v>34240</v>
      </c>
      <c r="F1258" s="3">
        <v>8330</v>
      </c>
      <c r="G1258" s="7">
        <f t="shared" si="179"/>
        <v>0</v>
      </c>
      <c r="H1258" s="5">
        <f t="shared" si="174"/>
        <v>-1.7123287671232876E-3</v>
      </c>
      <c r="I1258" s="4">
        <f t="shared" si="175"/>
        <v>5.0983248361252727E-3</v>
      </c>
      <c r="J1258" s="4">
        <f t="shared" si="176"/>
        <v>-7.2358900144717795E-4</v>
      </c>
      <c r="K1258" s="4">
        <f t="shared" si="177"/>
        <v>-1.3125273443196734E-3</v>
      </c>
      <c r="L1258" s="4">
        <f t="shared" si="178"/>
        <v>-0.33678343949044587</v>
      </c>
      <c r="M1258" s="3">
        <f t="shared" si="171"/>
        <v>9</v>
      </c>
      <c r="N1258" s="3">
        <f t="shared" si="172"/>
        <v>2</v>
      </c>
      <c r="O1258" s="3">
        <f t="shared" si="173"/>
        <v>1</v>
      </c>
    </row>
    <row r="1259" spans="1:15" x14ac:dyDescent="0.2">
      <c r="A1259" s="2">
        <v>45538</v>
      </c>
      <c r="B1259" s="3">
        <v>33936</v>
      </c>
      <c r="C1259" s="3">
        <v>34415</v>
      </c>
      <c r="D1259" s="3">
        <v>34515</v>
      </c>
      <c r="E1259" s="3">
        <v>33685</v>
      </c>
      <c r="F1259" s="3">
        <v>13950</v>
      </c>
      <c r="G1259" s="7">
        <f t="shared" si="179"/>
        <v>0</v>
      </c>
      <c r="H1259" s="5">
        <f t="shared" si="174"/>
        <v>-1.3402331598685932E-2</v>
      </c>
      <c r="I1259" s="4">
        <f t="shared" si="175"/>
        <v>-2.4637681159420288E-3</v>
      </c>
      <c r="J1259" s="4">
        <f t="shared" si="176"/>
        <v>-2.8964518464880519E-4</v>
      </c>
      <c r="K1259" s="4">
        <f t="shared" si="177"/>
        <v>-1.620911214953271E-2</v>
      </c>
      <c r="L1259" s="4">
        <f t="shared" si="178"/>
        <v>0.67466986794717887</v>
      </c>
      <c r="M1259" s="3">
        <f t="shared" si="171"/>
        <v>9</v>
      </c>
      <c r="N1259" s="3">
        <f t="shared" si="172"/>
        <v>3</v>
      </c>
      <c r="O1259" s="3">
        <f t="shared" si="173"/>
        <v>2</v>
      </c>
    </row>
    <row r="1260" spans="1:15" x14ac:dyDescent="0.2">
      <c r="A1260" s="2">
        <v>45539</v>
      </c>
      <c r="B1260" s="3">
        <v>33748</v>
      </c>
      <c r="C1260" s="3">
        <v>33555</v>
      </c>
      <c r="D1260" s="3">
        <v>33870</v>
      </c>
      <c r="E1260" s="3">
        <v>33315</v>
      </c>
      <c r="F1260" s="3">
        <v>16080</v>
      </c>
      <c r="G1260" s="7">
        <f t="shared" si="179"/>
        <v>0</v>
      </c>
      <c r="H1260" s="5">
        <f t="shared" si="174"/>
        <v>-5.5398396982555397E-3</v>
      </c>
      <c r="I1260" s="4">
        <f t="shared" si="175"/>
        <v>-2.4989103588551505E-2</v>
      </c>
      <c r="J1260" s="4">
        <f t="shared" si="176"/>
        <v>-1.8687527162103434E-2</v>
      </c>
      <c r="K1260" s="4">
        <f t="shared" si="177"/>
        <v>-1.0984117559744693E-2</v>
      </c>
      <c r="L1260" s="4">
        <f t="shared" si="178"/>
        <v>0.15268817204301074</v>
      </c>
      <c r="M1260" s="3">
        <f t="shared" si="171"/>
        <v>9</v>
      </c>
      <c r="N1260" s="3">
        <f t="shared" si="172"/>
        <v>4</v>
      </c>
      <c r="O1260" s="3">
        <f t="shared" si="173"/>
        <v>3</v>
      </c>
    </row>
    <row r="1261" spans="1:15" x14ac:dyDescent="0.2">
      <c r="A1261" s="2">
        <v>45540</v>
      </c>
      <c r="B1261" s="3">
        <v>33739</v>
      </c>
      <c r="C1261" s="3">
        <v>33645</v>
      </c>
      <c r="D1261" s="3">
        <v>33895</v>
      </c>
      <c r="E1261" s="3">
        <v>33595</v>
      </c>
      <c r="F1261" s="3">
        <v>10610</v>
      </c>
      <c r="G1261" s="7">
        <f t="shared" si="179"/>
        <v>0</v>
      </c>
      <c r="H1261" s="5">
        <f t="shared" si="174"/>
        <v>-2.666824700723006E-4</v>
      </c>
      <c r="I1261" s="4">
        <f t="shared" si="175"/>
        <v>2.682163611980331E-3</v>
      </c>
      <c r="J1261" s="4">
        <f t="shared" si="176"/>
        <v>7.3811632713315621E-4</v>
      </c>
      <c r="K1261" s="4">
        <f t="shared" si="177"/>
        <v>8.4046225423983194E-3</v>
      </c>
      <c r="L1261" s="4">
        <f t="shared" si="178"/>
        <v>-0.34017412935323382</v>
      </c>
      <c r="M1261" s="3">
        <f t="shared" si="171"/>
        <v>9</v>
      </c>
      <c r="N1261" s="3">
        <f t="shared" si="172"/>
        <v>5</v>
      </c>
      <c r="O1261" s="3">
        <f t="shared" si="173"/>
        <v>4</v>
      </c>
    </row>
    <row r="1262" spans="1:15" x14ac:dyDescent="0.2">
      <c r="A1262" s="2">
        <v>45541</v>
      </c>
      <c r="B1262" s="3">
        <v>33342</v>
      </c>
      <c r="C1262" s="3">
        <v>33730</v>
      </c>
      <c r="D1262" s="3">
        <v>33895</v>
      </c>
      <c r="E1262" s="3">
        <v>33220</v>
      </c>
      <c r="F1262" s="3">
        <v>15840</v>
      </c>
      <c r="G1262" s="7">
        <f t="shared" si="179"/>
        <v>0</v>
      </c>
      <c r="H1262" s="5">
        <f t="shared" si="174"/>
        <v>-1.1766798067518302E-2</v>
      </c>
      <c r="I1262" s="4">
        <f t="shared" si="175"/>
        <v>2.5263783623123794E-3</v>
      </c>
      <c r="J1262" s="4">
        <f t="shared" si="176"/>
        <v>0</v>
      </c>
      <c r="K1262" s="4">
        <f t="shared" si="177"/>
        <v>-1.116237535347522E-2</v>
      </c>
      <c r="L1262" s="4">
        <f t="shared" si="178"/>
        <v>0.49293119698397736</v>
      </c>
      <c r="M1262" s="3">
        <f t="shared" si="171"/>
        <v>9</v>
      </c>
      <c r="N1262" s="3">
        <f t="shared" si="172"/>
        <v>6</v>
      </c>
      <c r="O1262" s="3">
        <f t="shared" si="173"/>
        <v>5</v>
      </c>
    </row>
    <row r="1263" spans="1:15" x14ac:dyDescent="0.2">
      <c r="A1263" s="2">
        <v>45544</v>
      </c>
      <c r="B1263" s="3">
        <v>33635</v>
      </c>
      <c r="C1263" s="3">
        <v>33410</v>
      </c>
      <c r="D1263" s="3">
        <v>33780</v>
      </c>
      <c r="E1263" s="3">
        <v>33400</v>
      </c>
      <c r="F1263" s="3">
        <v>13200</v>
      </c>
      <c r="G1263" s="7">
        <f t="shared" si="179"/>
        <v>1</v>
      </c>
      <c r="H1263" s="5">
        <f t="shared" si="174"/>
        <v>8.787715194049547E-3</v>
      </c>
      <c r="I1263" s="4">
        <f t="shared" si="175"/>
        <v>-9.4871034687222053E-3</v>
      </c>
      <c r="J1263" s="4">
        <f t="shared" si="176"/>
        <v>-3.3928308010030979E-3</v>
      </c>
      <c r="K1263" s="4">
        <f t="shared" si="177"/>
        <v>5.4184226369656833E-3</v>
      </c>
      <c r="L1263" s="4">
        <f t="shared" si="178"/>
        <v>-0.16666666666666666</v>
      </c>
      <c r="M1263" s="3">
        <f t="shared" si="171"/>
        <v>9</v>
      </c>
      <c r="N1263" s="3">
        <f t="shared" si="172"/>
        <v>9</v>
      </c>
      <c r="O1263" s="3">
        <f t="shared" si="173"/>
        <v>1</v>
      </c>
    </row>
    <row r="1264" spans="1:15" x14ac:dyDescent="0.2">
      <c r="A1264" s="2">
        <v>45545</v>
      </c>
      <c r="B1264" s="3">
        <v>33252</v>
      </c>
      <c r="C1264" s="3">
        <v>33615</v>
      </c>
      <c r="D1264" s="3">
        <v>33770</v>
      </c>
      <c r="E1264" s="3">
        <v>33090</v>
      </c>
      <c r="F1264" s="3">
        <v>15380</v>
      </c>
      <c r="G1264" s="7">
        <f t="shared" si="179"/>
        <v>0</v>
      </c>
      <c r="H1264" s="5">
        <f t="shared" si="174"/>
        <v>-1.138694811951836E-2</v>
      </c>
      <c r="I1264" s="4">
        <f t="shared" si="175"/>
        <v>6.1358874588446572E-3</v>
      </c>
      <c r="J1264" s="4">
        <f t="shared" si="176"/>
        <v>-2.9603315571343988E-4</v>
      </c>
      <c r="K1264" s="4">
        <f t="shared" si="177"/>
        <v>-9.2814371257485036E-3</v>
      </c>
      <c r="L1264" s="4">
        <f t="shared" si="178"/>
        <v>0.16515151515151516</v>
      </c>
      <c r="M1264" s="3">
        <f t="shared" si="171"/>
        <v>9</v>
      </c>
      <c r="N1264" s="3">
        <f t="shared" si="172"/>
        <v>10</v>
      </c>
      <c r="O1264" s="3">
        <f t="shared" si="173"/>
        <v>2</v>
      </c>
    </row>
    <row r="1265" spans="1:15" x14ac:dyDescent="0.2">
      <c r="A1265" s="2">
        <v>45546</v>
      </c>
      <c r="B1265" s="3">
        <v>33213</v>
      </c>
      <c r="C1265" s="3">
        <v>33245</v>
      </c>
      <c r="D1265" s="3">
        <v>33560</v>
      </c>
      <c r="E1265" s="3">
        <v>33010</v>
      </c>
      <c r="F1265" s="3">
        <v>15980</v>
      </c>
      <c r="G1265" s="7">
        <f t="shared" si="179"/>
        <v>0</v>
      </c>
      <c r="H1265" s="5">
        <f t="shared" si="174"/>
        <v>-1.1728617827499097E-3</v>
      </c>
      <c r="I1265" s="4">
        <f t="shared" si="175"/>
        <v>-1.1006990926669642E-2</v>
      </c>
      <c r="J1265" s="4">
        <f t="shared" si="176"/>
        <v>-6.2185371631625699E-3</v>
      </c>
      <c r="K1265" s="4">
        <f t="shared" si="177"/>
        <v>-2.4176488365064974E-3</v>
      </c>
      <c r="L1265" s="4">
        <f t="shared" si="178"/>
        <v>3.9011703511053319E-2</v>
      </c>
      <c r="M1265" s="3">
        <f t="shared" si="171"/>
        <v>9</v>
      </c>
      <c r="N1265" s="3">
        <f t="shared" si="172"/>
        <v>11</v>
      </c>
      <c r="O1265" s="3">
        <f t="shared" si="173"/>
        <v>3</v>
      </c>
    </row>
    <row r="1266" spans="1:15" x14ac:dyDescent="0.2">
      <c r="A1266" s="2">
        <v>45547</v>
      </c>
      <c r="B1266" s="3">
        <v>33480</v>
      </c>
      <c r="C1266" s="3">
        <v>33615</v>
      </c>
      <c r="D1266" s="3">
        <v>33695</v>
      </c>
      <c r="E1266" s="3">
        <v>33195</v>
      </c>
      <c r="F1266" s="3">
        <v>17200</v>
      </c>
      <c r="G1266" s="7">
        <f t="shared" si="179"/>
        <v>1</v>
      </c>
      <c r="H1266" s="5">
        <f t="shared" si="174"/>
        <v>8.0390208653238187E-3</v>
      </c>
      <c r="I1266" s="4">
        <f t="shared" si="175"/>
        <v>1.1129493156865695E-2</v>
      </c>
      <c r="J1266" s="4">
        <f t="shared" si="176"/>
        <v>4.022646007151371E-3</v>
      </c>
      <c r="K1266" s="4">
        <f t="shared" si="177"/>
        <v>5.6043623144501663E-3</v>
      </c>
      <c r="L1266" s="4">
        <f t="shared" si="178"/>
        <v>7.634543178973717E-2</v>
      </c>
      <c r="M1266" s="3">
        <f t="shared" si="171"/>
        <v>9</v>
      </c>
      <c r="N1266" s="3">
        <f t="shared" si="172"/>
        <v>12</v>
      </c>
      <c r="O1266" s="3">
        <f t="shared" si="173"/>
        <v>4</v>
      </c>
    </row>
    <row r="1267" spans="1:15" x14ac:dyDescent="0.2">
      <c r="A1267" s="2">
        <v>45548</v>
      </c>
      <c r="B1267" s="3">
        <v>33593</v>
      </c>
      <c r="C1267" s="3">
        <v>33565</v>
      </c>
      <c r="D1267" s="3">
        <v>33710</v>
      </c>
      <c r="E1267" s="3">
        <v>33470</v>
      </c>
      <c r="F1267" s="3">
        <v>13980</v>
      </c>
      <c r="G1267" s="7">
        <f t="shared" si="179"/>
        <v>1</v>
      </c>
      <c r="H1267" s="5">
        <f t="shared" si="174"/>
        <v>3.3751493428912783E-3</v>
      </c>
      <c r="I1267" s="4">
        <f t="shared" si="175"/>
        <v>-1.4874312063067083E-3</v>
      </c>
      <c r="J1267" s="4">
        <f t="shared" si="176"/>
        <v>4.4516990651431964E-4</v>
      </c>
      <c r="K1267" s="4">
        <f t="shared" si="177"/>
        <v>8.2843801777376103E-3</v>
      </c>
      <c r="L1267" s="4">
        <f t="shared" si="178"/>
        <v>-0.18720930232558139</v>
      </c>
      <c r="M1267" s="3">
        <f t="shared" si="171"/>
        <v>9</v>
      </c>
      <c r="N1267" s="3">
        <f t="shared" si="172"/>
        <v>13</v>
      </c>
      <c r="O1267" s="3">
        <f t="shared" si="173"/>
        <v>5</v>
      </c>
    </row>
    <row r="1268" spans="1:15" x14ac:dyDescent="0.2">
      <c r="A1268" s="2">
        <v>45551</v>
      </c>
      <c r="B1268" s="3">
        <v>33590</v>
      </c>
      <c r="C1268" s="3">
        <v>33600</v>
      </c>
      <c r="D1268" s="3">
        <v>33755</v>
      </c>
      <c r="E1268" s="3">
        <v>33435</v>
      </c>
      <c r="F1268" s="3">
        <v>35530</v>
      </c>
      <c r="G1268" s="7">
        <f t="shared" si="179"/>
        <v>0</v>
      </c>
      <c r="H1268" s="5">
        <f t="shared" si="174"/>
        <v>-8.9304319352246007E-5</v>
      </c>
      <c r="I1268" s="4">
        <f t="shared" si="175"/>
        <v>1.0427528675703858E-3</v>
      </c>
      <c r="J1268" s="4">
        <f t="shared" si="176"/>
        <v>1.3349154553544942E-3</v>
      </c>
      <c r="K1268" s="4">
        <f t="shared" si="177"/>
        <v>-1.0457125784284435E-3</v>
      </c>
      <c r="L1268" s="4">
        <f t="shared" si="178"/>
        <v>1.5414878397711016</v>
      </c>
      <c r="M1268" s="3">
        <f t="shared" si="171"/>
        <v>9</v>
      </c>
      <c r="N1268" s="3">
        <f t="shared" si="172"/>
        <v>16</v>
      </c>
      <c r="O1268" s="3">
        <f t="shared" si="173"/>
        <v>1</v>
      </c>
    </row>
    <row r="1269" spans="1:15" x14ac:dyDescent="0.2">
      <c r="A1269" s="2">
        <v>45552</v>
      </c>
      <c r="B1269" s="3">
        <v>33802</v>
      </c>
      <c r="C1269" s="3">
        <v>33715</v>
      </c>
      <c r="D1269" s="3">
        <v>33950</v>
      </c>
      <c r="E1269" s="3">
        <v>33655</v>
      </c>
      <c r="F1269" s="3">
        <v>47810</v>
      </c>
      <c r="G1269" s="7">
        <f t="shared" si="179"/>
        <v>1</v>
      </c>
      <c r="H1269" s="5">
        <f t="shared" si="174"/>
        <v>6.3114022030366177E-3</v>
      </c>
      <c r="I1269" s="4">
        <f t="shared" si="175"/>
        <v>3.4226190476190476E-3</v>
      </c>
      <c r="J1269" s="4">
        <f t="shared" si="176"/>
        <v>5.7769219374907421E-3</v>
      </c>
      <c r="K1269" s="4">
        <f t="shared" si="177"/>
        <v>6.5799312098100788E-3</v>
      </c>
      <c r="L1269" s="4">
        <f t="shared" si="178"/>
        <v>0.34562341683084719</v>
      </c>
      <c r="M1269" s="3">
        <f t="shared" si="171"/>
        <v>9</v>
      </c>
      <c r="N1269" s="3">
        <f t="shared" si="172"/>
        <v>17</v>
      </c>
      <c r="O1269" s="3">
        <f t="shared" si="173"/>
        <v>2</v>
      </c>
    </row>
    <row r="1270" spans="1:15" x14ac:dyDescent="0.2">
      <c r="A1270" s="2">
        <v>45553</v>
      </c>
      <c r="B1270" s="3">
        <v>33669</v>
      </c>
      <c r="C1270" s="3">
        <v>33770</v>
      </c>
      <c r="D1270" s="3">
        <v>33925</v>
      </c>
      <c r="E1270" s="3">
        <v>33615</v>
      </c>
      <c r="F1270" s="3">
        <v>41050</v>
      </c>
      <c r="G1270" s="7">
        <f t="shared" si="179"/>
        <v>0</v>
      </c>
      <c r="H1270" s="5">
        <f t="shared" si="174"/>
        <v>-3.934678421395184E-3</v>
      </c>
      <c r="I1270" s="4">
        <f t="shared" si="175"/>
        <v>1.6313213703099511E-3</v>
      </c>
      <c r="J1270" s="4">
        <f t="shared" si="176"/>
        <v>-7.3637702503681884E-4</v>
      </c>
      <c r="K1270" s="4">
        <f t="shared" si="177"/>
        <v>-1.1885306789481504E-3</v>
      </c>
      <c r="L1270" s="4">
        <f t="shared" si="178"/>
        <v>-0.14139301401380464</v>
      </c>
      <c r="M1270" s="3">
        <f t="shared" si="171"/>
        <v>9</v>
      </c>
      <c r="N1270" s="3">
        <f t="shared" si="172"/>
        <v>18</v>
      </c>
      <c r="O1270" s="3">
        <f t="shared" si="173"/>
        <v>3</v>
      </c>
    </row>
    <row r="1271" spans="1:15" x14ac:dyDescent="0.2">
      <c r="A1271" s="2">
        <v>45554</v>
      </c>
      <c r="B1271" s="3">
        <v>34048</v>
      </c>
      <c r="C1271" s="3">
        <v>33960</v>
      </c>
      <c r="D1271" s="3">
        <v>34115</v>
      </c>
      <c r="E1271" s="3">
        <v>33775</v>
      </c>
      <c r="F1271" s="3">
        <v>30570</v>
      </c>
      <c r="G1271" s="7">
        <f t="shared" si="179"/>
        <v>1</v>
      </c>
      <c r="H1271" s="5">
        <f t="shared" si="174"/>
        <v>1.1256645579019276E-2</v>
      </c>
      <c r="I1271" s="4">
        <f t="shared" si="175"/>
        <v>5.6262955285756588E-3</v>
      </c>
      <c r="J1271" s="4">
        <f t="shared" si="176"/>
        <v>5.6005895357406042E-3</v>
      </c>
      <c r="K1271" s="4">
        <f t="shared" si="177"/>
        <v>4.7597798601814664E-3</v>
      </c>
      <c r="L1271" s="4">
        <f t="shared" si="178"/>
        <v>-0.25529841656516444</v>
      </c>
      <c r="M1271" s="3">
        <f t="shared" si="171"/>
        <v>9</v>
      </c>
      <c r="N1271" s="3">
        <f t="shared" si="172"/>
        <v>19</v>
      </c>
      <c r="O1271" s="3">
        <f t="shared" si="173"/>
        <v>4</v>
      </c>
    </row>
    <row r="1272" spans="1:15" x14ac:dyDescent="0.2">
      <c r="A1272" s="2">
        <v>45555</v>
      </c>
      <c r="B1272" s="3">
        <v>33851</v>
      </c>
      <c r="C1272" s="3">
        <v>33950</v>
      </c>
      <c r="D1272" s="3">
        <v>34035</v>
      </c>
      <c r="E1272" s="3">
        <v>33860</v>
      </c>
      <c r="F1272" s="3">
        <v>60</v>
      </c>
      <c r="G1272" s="7">
        <f t="shared" si="179"/>
        <v>0</v>
      </c>
      <c r="H1272" s="5">
        <f t="shared" si="174"/>
        <v>-5.7859492481203006E-3</v>
      </c>
      <c r="I1272" s="4">
        <f t="shared" si="175"/>
        <v>-2.9446407538280328E-4</v>
      </c>
      <c r="J1272" s="4">
        <f t="shared" si="176"/>
        <v>-2.3450095266012018E-3</v>
      </c>
      <c r="K1272" s="4">
        <f t="shared" si="177"/>
        <v>2.5166543301258326E-3</v>
      </c>
      <c r="L1272" s="4">
        <f t="shared" si="178"/>
        <v>-0.99803729146221787</v>
      </c>
      <c r="M1272" s="3">
        <f t="shared" si="171"/>
        <v>9</v>
      </c>
      <c r="N1272" s="3">
        <f t="shared" si="172"/>
        <v>20</v>
      </c>
      <c r="O1272" s="3">
        <f t="shared" si="173"/>
        <v>5</v>
      </c>
    </row>
    <row r="1273" spans="1:15" x14ac:dyDescent="0.2">
      <c r="A1273" s="2">
        <v>45558</v>
      </c>
      <c r="B1273" s="3">
        <v>33622</v>
      </c>
      <c r="C1273" s="3">
        <v>33805</v>
      </c>
      <c r="D1273" s="3">
        <v>33825</v>
      </c>
      <c r="E1273" s="3">
        <v>33435</v>
      </c>
      <c r="F1273" s="3">
        <v>10770</v>
      </c>
      <c r="G1273" s="7">
        <f t="shared" si="179"/>
        <v>0</v>
      </c>
      <c r="H1273" s="5">
        <f t="shared" si="174"/>
        <v>-6.7649404744320697E-3</v>
      </c>
      <c r="I1273" s="4">
        <f t="shared" si="175"/>
        <v>-4.2709867452135489E-3</v>
      </c>
      <c r="J1273" s="4">
        <f t="shared" si="176"/>
        <v>-6.1701189951520498E-3</v>
      </c>
      <c r="K1273" s="4">
        <f t="shared" si="177"/>
        <v>-1.2551683402244536E-2</v>
      </c>
      <c r="L1273" s="4">
        <f t="shared" si="178"/>
        <v>178.5</v>
      </c>
      <c r="M1273" s="3">
        <f t="shared" si="171"/>
        <v>9</v>
      </c>
      <c r="N1273" s="3">
        <f t="shared" si="172"/>
        <v>23</v>
      </c>
      <c r="O1273" s="3">
        <f t="shared" si="173"/>
        <v>1</v>
      </c>
    </row>
    <row r="1274" spans="1:15" x14ac:dyDescent="0.2">
      <c r="A1274" s="2">
        <v>45559</v>
      </c>
      <c r="B1274" s="3">
        <v>33821</v>
      </c>
      <c r="C1274" s="3">
        <v>33765</v>
      </c>
      <c r="D1274" s="3">
        <v>33895</v>
      </c>
      <c r="E1274" s="3">
        <v>33700</v>
      </c>
      <c r="F1274" s="3">
        <v>11270</v>
      </c>
      <c r="G1274" s="7">
        <f t="shared" si="179"/>
        <v>1</v>
      </c>
      <c r="H1274" s="5">
        <f t="shared" si="174"/>
        <v>5.9187436797335079E-3</v>
      </c>
      <c r="I1274" s="4">
        <f t="shared" si="175"/>
        <v>-1.183256914657595E-3</v>
      </c>
      <c r="J1274" s="4">
        <f t="shared" si="176"/>
        <v>2.0694752402069475E-3</v>
      </c>
      <c r="K1274" s="4">
        <f t="shared" si="177"/>
        <v>7.925826229998505E-3</v>
      </c>
      <c r="L1274" s="4">
        <f t="shared" si="178"/>
        <v>4.6425255338904362E-2</v>
      </c>
      <c r="M1274" s="3">
        <f t="shared" si="171"/>
        <v>9</v>
      </c>
      <c r="N1274" s="3">
        <f t="shared" si="172"/>
        <v>24</v>
      </c>
      <c r="O1274" s="3">
        <f t="shared" si="173"/>
        <v>2</v>
      </c>
    </row>
    <row r="1275" spans="1:15" x14ac:dyDescent="0.2">
      <c r="A1275" s="2">
        <v>45560</v>
      </c>
      <c r="B1275" s="3">
        <v>33775</v>
      </c>
      <c r="C1275" s="3">
        <v>33630</v>
      </c>
      <c r="D1275" s="3">
        <v>33925</v>
      </c>
      <c r="E1275" s="3">
        <v>33600</v>
      </c>
      <c r="F1275" s="3">
        <v>11000</v>
      </c>
      <c r="G1275" s="7">
        <f t="shared" si="179"/>
        <v>0</v>
      </c>
      <c r="H1275" s="5">
        <f t="shared" si="174"/>
        <v>-1.3601017119541114E-3</v>
      </c>
      <c r="I1275" s="4">
        <f t="shared" si="175"/>
        <v>-3.9982230119946687E-3</v>
      </c>
      <c r="J1275" s="4">
        <f t="shared" si="176"/>
        <v>8.8508629591385157E-4</v>
      </c>
      <c r="K1275" s="4">
        <f t="shared" si="177"/>
        <v>-2.967359050445104E-3</v>
      </c>
      <c r="L1275" s="4">
        <f t="shared" si="178"/>
        <v>-2.3957409050576754E-2</v>
      </c>
      <c r="M1275" s="3">
        <f t="shared" si="171"/>
        <v>9</v>
      </c>
      <c r="N1275" s="3">
        <f t="shared" si="172"/>
        <v>25</v>
      </c>
      <c r="O1275" s="3">
        <f t="shared" si="173"/>
        <v>3</v>
      </c>
    </row>
    <row r="1276" spans="1:15" x14ac:dyDescent="0.2">
      <c r="A1276" s="2">
        <v>45561</v>
      </c>
      <c r="B1276" s="3">
        <v>34347</v>
      </c>
      <c r="C1276" s="3">
        <v>33995</v>
      </c>
      <c r="D1276" s="3">
        <v>34460</v>
      </c>
      <c r="E1276" s="3">
        <v>33995</v>
      </c>
      <c r="F1276" s="3">
        <v>16670</v>
      </c>
      <c r="G1276" s="7">
        <f t="shared" si="179"/>
        <v>1</v>
      </c>
      <c r="H1276" s="5">
        <f t="shared" si="174"/>
        <v>1.693560325684678E-2</v>
      </c>
      <c r="I1276" s="4">
        <f t="shared" si="175"/>
        <v>1.0853404698186143E-2</v>
      </c>
      <c r="J1276" s="4">
        <f t="shared" si="176"/>
        <v>1.5770081061164332E-2</v>
      </c>
      <c r="K1276" s="4">
        <f t="shared" si="177"/>
        <v>1.1755952380952381E-2</v>
      </c>
      <c r="L1276" s="4">
        <f t="shared" si="178"/>
        <v>0.5154545454545455</v>
      </c>
      <c r="M1276" s="3">
        <f t="shared" si="171"/>
        <v>9</v>
      </c>
      <c r="N1276" s="3">
        <f t="shared" si="172"/>
        <v>26</v>
      </c>
      <c r="O1276" s="3">
        <f t="shared" si="173"/>
        <v>4</v>
      </c>
    </row>
    <row r="1277" spans="1:15" x14ac:dyDescent="0.2">
      <c r="A1277" s="2">
        <v>45562</v>
      </c>
      <c r="B1277" s="3">
        <v>34665</v>
      </c>
      <c r="C1277" s="3">
        <v>34390</v>
      </c>
      <c r="D1277" s="3">
        <v>34695</v>
      </c>
      <c r="E1277" s="3">
        <v>34360</v>
      </c>
      <c r="F1277" s="3">
        <v>14000</v>
      </c>
      <c r="G1277" s="7">
        <f t="shared" si="179"/>
        <v>1</v>
      </c>
      <c r="H1277" s="5">
        <f t="shared" si="174"/>
        <v>9.2584505196960428E-3</v>
      </c>
      <c r="I1277" s="4">
        <f t="shared" si="175"/>
        <v>1.1619355787615826E-2</v>
      </c>
      <c r="J1277" s="4">
        <f t="shared" si="176"/>
        <v>6.8195008705745795E-3</v>
      </c>
      <c r="K1277" s="4">
        <f t="shared" si="177"/>
        <v>1.0736873069569055E-2</v>
      </c>
      <c r="L1277" s="4">
        <f t="shared" si="178"/>
        <v>-0.16016796640671865</v>
      </c>
      <c r="M1277" s="3">
        <f t="shared" si="171"/>
        <v>9</v>
      </c>
      <c r="N1277" s="3">
        <f t="shared" si="172"/>
        <v>27</v>
      </c>
      <c r="O1277" s="3">
        <f t="shared" si="173"/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26943-51DD-F649-B890-217E50681069}">
  <dimension ref="A1:E43"/>
  <sheetViews>
    <sheetView showFormulas="1" tabSelected="1" workbookViewId="0">
      <selection activeCell="D18" sqref="D18"/>
    </sheetView>
  </sheetViews>
  <sheetFormatPr baseColWidth="10" defaultColWidth="8.83203125" defaultRowHeight="15" x14ac:dyDescent="0.2"/>
  <cols>
    <col min="1" max="1" width="4" bestFit="1" customWidth="1"/>
    <col min="2" max="2" width="7.1640625" customWidth="1"/>
    <col min="3" max="3" width="16.33203125" customWidth="1"/>
    <col min="4" max="4" width="13.83203125" customWidth="1"/>
    <col min="5" max="5" width="43.5" customWidth="1"/>
  </cols>
  <sheetData>
    <row r="1" spans="1:5" ht="21" x14ac:dyDescent="0.2">
      <c r="A1" s="16" t="s">
        <v>66</v>
      </c>
      <c r="B1" s="13"/>
      <c r="C1" s="13"/>
      <c r="D1" s="13"/>
      <c r="E1" s="13"/>
    </row>
    <row r="3" spans="1:5" ht="51" x14ac:dyDescent="0.2">
      <c r="A3" s="12" t="s">
        <v>65</v>
      </c>
      <c r="B3" s="12" t="s">
        <v>64</v>
      </c>
      <c r="C3" s="12" t="s">
        <v>63</v>
      </c>
      <c r="D3" s="12" t="s">
        <v>62</v>
      </c>
      <c r="E3" s="12" t="s">
        <v>15</v>
      </c>
    </row>
    <row r="4" spans="1:5" x14ac:dyDescent="0.2">
      <c r="A4" s="11" t="s">
        <v>61</v>
      </c>
      <c r="B4" s="9" t="s">
        <v>6</v>
      </c>
      <c r="C4" s="9" t="s">
        <v>60</v>
      </c>
      <c r="D4" s="15" t="s">
        <v>44</v>
      </c>
      <c r="E4" s="9" t="s">
        <v>59</v>
      </c>
    </row>
    <row r="5" spans="1:5" x14ac:dyDescent="0.2">
      <c r="A5" s="11" t="s">
        <v>58</v>
      </c>
      <c r="B5" s="9" t="s">
        <v>4</v>
      </c>
      <c r="C5" s="9" t="s">
        <v>57</v>
      </c>
      <c r="D5" s="15" t="s">
        <v>44</v>
      </c>
      <c r="E5" s="9" t="s">
        <v>56</v>
      </c>
    </row>
    <row r="6" spans="1:5" x14ac:dyDescent="0.2">
      <c r="A6" s="11" t="s">
        <v>55</v>
      </c>
      <c r="B6" s="9" t="s">
        <v>5</v>
      </c>
      <c r="C6" s="9" t="s">
        <v>54</v>
      </c>
      <c r="D6" s="15" t="s">
        <v>44</v>
      </c>
      <c r="E6" s="9" t="s">
        <v>53</v>
      </c>
    </row>
    <row r="7" spans="1:5" x14ac:dyDescent="0.2">
      <c r="A7" s="11" t="s">
        <v>52</v>
      </c>
      <c r="B7" s="9" t="s">
        <v>7</v>
      </c>
      <c r="C7" s="9" t="s">
        <v>51</v>
      </c>
      <c r="D7" s="15" t="s">
        <v>44</v>
      </c>
      <c r="E7" s="9" t="s">
        <v>50</v>
      </c>
    </row>
    <row r="8" spans="1:5" x14ac:dyDescent="0.2">
      <c r="A8" s="11" t="s">
        <v>49</v>
      </c>
      <c r="B8" s="9" t="s">
        <v>8</v>
      </c>
      <c r="C8" s="9" t="s">
        <v>48</v>
      </c>
      <c r="D8" s="15" t="s">
        <v>44</v>
      </c>
      <c r="E8" s="9" t="s">
        <v>47</v>
      </c>
    </row>
    <row r="9" spans="1:5" x14ac:dyDescent="0.2">
      <c r="A9" s="11" t="s">
        <v>46</v>
      </c>
      <c r="B9" s="9" t="s">
        <v>9</v>
      </c>
      <c r="C9" s="9" t="s">
        <v>45</v>
      </c>
      <c r="D9" s="15" t="s">
        <v>44</v>
      </c>
      <c r="E9" s="9" t="s">
        <v>43</v>
      </c>
    </row>
    <row r="10" spans="1:5" ht="30" x14ac:dyDescent="0.2">
      <c r="A10" s="11" t="s">
        <v>18</v>
      </c>
      <c r="B10" s="9" t="s">
        <v>3</v>
      </c>
      <c r="C10" s="9" t="s">
        <v>42</v>
      </c>
      <c r="D10" s="15">
        <f>IF(H3&lt;0, 0, 1)</f>
        <v>1</v>
      </c>
      <c r="E10" s="9" t="s">
        <v>41</v>
      </c>
    </row>
    <row r="11" spans="1:5" ht="30" x14ac:dyDescent="0.2">
      <c r="A11" s="11" t="s">
        <v>17</v>
      </c>
      <c r="B11" s="9" t="s">
        <v>10</v>
      </c>
      <c r="C11" s="9" t="s">
        <v>40</v>
      </c>
      <c r="D11" s="15" t="e">
        <f>(B3/B2)/B2</f>
        <v>#VALUE!</v>
      </c>
      <c r="E11" s="9" t="s">
        <v>39</v>
      </c>
    </row>
    <row r="12" spans="1:5" ht="30" x14ac:dyDescent="0.2">
      <c r="A12" s="11" t="s">
        <v>16</v>
      </c>
      <c r="B12" s="9" t="s">
        <v>11</v>
      </c>
      <c r="C12" s="9" t="s">
        <v>38</v>
      </c>
      <c r="D12" s="15" t="e">
        <f>(C3/C2)/C2</f>
        <v>#VALUE!</v>
      </c>
      <c r="E12" s="9" t="s">
        <v>37</v>
      </c>
    </row>
    <row r="13" spans="1:5" ht="30" x14ac:dyDescent="0.2">
      <c r="A13" s="11" t="s">
        <v>36</v>
      </c>
      <c r="B13" s="9" t="s">
        <v>12</v>
      </c>
      <c r="C13" s="9" t="s">
        <v>35</v>
      </c>
      <c r="D13" s="15" t="e">
        <f>(D3/D2)/D2</f>
        <v>#VALUE!</v>
      </c>
      <c r="E13" s="9" t="s">
        <v>34</v>
      </c>
    </row>
    <row r="14" spans="1:5" ht="30" x14ac:dyDescent="0.2">
      <c r="A14" s="11" t="s">
        <v>33</v>
      </c>
      <c r="B14" s="9" t="s">
        <v>13</v>
      </c>
      <c r="C14" s="9" t="s">
        <v>32</v>
      </c>
      <c r="D14" s="15" t="e">
        <f>(E3/E2)/E2</f>
        <v>#VALUE!</v>
      </c>
      <c r="E14" s="9" t="s">
        <v>31</v>
      </c>
    </row>
    <row r="15" spans="1:5" ht="30" x14ac:dyDescent="0.2">
      <c r="A15" s="11" t="s">
        <v>30</v>
      </c>
      <c r="B15" s="9" t="s">
        <v>14</v>
      </c>
      <c r="C15" s="9" t="s">
        <v>29</v>
      </c>
      <c r="D15" s="15" t="e">
        <f>(F3/F2)/F2</f>
        <v>#DIV/0!</v>
      </c>
      <c r="E15" s="9" t="s">
        <v>28</v>
      </c>
    </row>
    <row r="16" spans="1:5" ht="30" x14ac:dyDescent="0.2">
      <c r="A16" s="11" t="s">
        <v>27</v>
      </c>
      <c r="B16" s="9" t="s">
        <v>0</v>
      </c>
      <c r="C16" s="9" t="s">
        <v>26</v>
      </c>
      <c r="D16" s="15">
        <f>MONTH(A2)</f>
        <v>1</v>
      </c>
      <c r="E16" s="9" t="s">
        <v>25</v>
      </c>
    </row>
    <row r="17" spans="1:5" ht="30" x14ac:dyDescent="0.2">
      <c r="A17" s="11" t="s">
        <v>24</v>
      </c>
      <c r="B17" s="9" t="s">
        <v>1</v>
      </c>
      <c r="C17" s="9" t="s">
        <v>23</v>
      </c>
      <c r="D17" s="15">
        <f>DAY(A2)</f>
        <v>0</v>
      </c>
      <c r="E17" s="9" t="s">
        <v>22</v>
      </c>
    </row>
    <row r="18" spans="1:5" ht="18" customHeight="1" x14ac:dyDescent="0.2">
      <c r="A18" s="11" t="s">
        <v>21</v>
      </c>
      <c r="B18" s="9" t="s">
        <v>2</v>
      </c>
      <c r="C18" s="9" t="s">
        <v>20</v>
      </c>
      <c r="D18" s="15">
        <f>WEEKDAY(A2,2)</f>
        <v>6</v>
      </c>
      <c r="E18" s="9" t="s">
        <v>19</v>
      </c>
    </row>
    <row r="21" spans="1:5" x14ac:dyDescent="0.2">
      <c r="A21" s="17"/>
      <c r="B21" s="18"/>
      <c r="C21" s="18"/>
      <c r="D21" s="18"/>
      <c r="E21" s="18"/>
    </row>
    <row r="22" spans="1:5" ht="1" x14ac:dyDescent="0.2"/>
    <row r="23" spans="1:5" ht="87" customHeight="1" x14ac:dyDescent="0.2"/>
    <row r="24" spans="1:5" ht="27" customHeight="1" x14ac:dyDescent="0.2">
      <c r="A24" s="14"/>
      <c r="B24" s="13"/>
      <c r="C24" s="13"/>
      <c r="D24" s="13"/>
      <c r="E24" s="13"/>
    </row>
    <row r="25" spans="1:5" ht="66" customHeight="1" x14ac:dyDescent="0.2"/>
    <row r="26" spans="1:5" ht="16" x14ac:dyDescent="0.2">
      <c r="A26" s="19"/>
      <c r="B26" s="19"/>
      <c r="C26" s="19"/>
      <c r="D26" s="19"/>
    </row>
    <row r="27" spans="1:5" ht="34" customHeight="1" x14ac:dyDescent="0.2">
      <c r="A27" s="11"/>
      <c r="B27" s="9"/>
      <c r="C27" s="10"/>
      <c r="D27" s="9"/>
    </row>
    <row r="28" spans="1:5" x14ac:dyDescent="0.2">
      <c r="A28" s="11"/>
      <c r="B28" s="9"/>
      <c r="C28" s="10"/>
      <c r="D28" s="9"/>
    </row>
    <row r="29" spans="1:5" x14ac:dyDescent="0.2">
      <c r="A29" s="11"/>
      <c r="B29" s="9"/>
      <c r="C29" s="10"/>
      <c r="D29" s="9"/>
    </row>
    <row r="30" spans="1:5" x14ac:dyDescent="0.2">
      <c r="A30" s="11"/>
      <c r="B30" s="9"/>
      <c r="C30" s="10"/>
      <c r="D30" s="9"/>
    </row>
    <row r="31" spans="1:5" x14ac:dyDescent="0.2">
      <c r="A31" s="11"/>
      <c r="B31" s="9"/>
      <c r="C31" s="10"/>
      <c r="D31" s="9"/>
    </row>
    <row r="32" spans="1:5" x14ac:dyDescent="0.2">
      <c r="A32" s="11"/>
      <c r="B32" s="9"/>
      <c r="C32" s="10"/>
      <c r="D32" s="9"/>
    </row>
    <row r="33" spans="1:5" x14ac:dyDescent="0.2">
      <c r="A33" s="11"/>
      <c r="B33" s="9"/>
      <c r="C33" s="10"/>
      <c r="D33" s="9"/>
    </row>
    <row r="34" spans="1:5" x14ac:dyDescent="0.2">
      <c r="A34" s="11"/>
      <c r="B34" s="9"/>
      <c r="C34" s="10"/>
      <c r="D34" s="9"/>
    </row>
    <row r="35" spans="1:5" x14ac:dyDescent="0.2">
      <c r="A35" s="11"/>
      <c r="B35" s="9"/>
      <c r="C35" s="10"/>
      <c r="D35" s="9"/>
    </row>
    <row r="38" spans="1:5" x14ac:dyDescent="0.2">
      <c r="A38" s="14"/>
      <c r="B38" s="13"/>
      <c r="C38" s="13"/>
      <c r="D38" s="13"/>
      <c r="E38" s="13"/>
    </row>
    <row r="40" spans="1:5" ht="16" x14ac:dyDescent="0.2">
      <c r="B40" s="19"/>
      <c r="C40" s="19"/>
    </row>
    <row r="41" spans="1:5" ht="16" x14ac:dyDescent="0.2">
      <c r="B41" s="19"/>
      <c r="C41" s="19"/>
    </row>
    <row r="42" spans="1:5" ht="16" x14ac:dyDescent="0.2">
      <c r="B42" s="19"/>
      <c r="C42" s="19"/>
    </row>
    <row r="43" spans="1:5" ht="16" x14ac:dyDescent="0.2">
      <c r="B43" s="19"/>
      <c r="C43" s="19"/>
    </row>
  </sheetData>
  <mergeCells count="4">
    <mergeCell ref="A21:E21"/>
    <mergeCell ref="A1:E1"/>
    <mergeCell ref="A38:E38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Sheet1</vt:lpstr>
      <vt:lpstr>Legenda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Fortunato</cp:lastModifiedBy>
  <dcterms:created xsi:type="dcterms:W3CDTF">2025-10-17T09:59:32Z</dcterms:created>
  <dcterms:modified xsi:type="dcterms:W3CDTF">2025-11-26T16:23:22Z</dcterms:modified>
</cp:coreProperties>
</file>